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FA4E73CB-5A4C-4E35-A315-D73A17FFC04E}" xr6:coauthVersionLast="47" xr6:coauthVersionMax="47" xr10:uidLastSave="{00000000-0000-0000-0000-000000000000}"/>
  <bookViews>
    <workbookView xWindow="-120" yWindow="-120" windowWidth="20730" windowHeight="11040" firstSheet="6" activeTab="8" xr2:uid="{C24DAEC3-7B4D-4393-A621-4CC1794BC0BA}"/>
  </bookViews>
  <sheets>
    <sheet name="trend analysis" sheetId="4" r:id="rId1"/>
    <sheet name="Sheet4" sheetId="5" r:id="rId2"/>
    <sheet name="Sheet5" sheetId="6" r:id="rId3"/>
    <sheet name="State with higher employer cove" sheetId="9" r:id="rId4"/>
    <sheet name="employer coverage vs uninsured " sheetId="10" r:id="rId5"/>
    <sheet name="Medicare vs Medicaid" sheetId="11" r:id="rId6"/>
    <sheet name="Top 10 States with the greatest" sheetId="12" r:id="rId7"/>
    <sheet name="Health Insurrance (2)" sheetId="1" r:id="rId8"/>
    <sheet name="Dashboard" sheetId="13" r:id="rId9"/>
    <sheet name="kpis" sheetId="14" r:id="rId10"/>
  </sheets>
  <definedNames>
    <definedName name="_xlnm.Print_Area" localSheetId="8">Dashboard!$A$1:$U$40</definedName>
    <definedName name="Slicer_State">#N/A</definedName>
    <definedName name="Slicer_State_Medicaid_Expansion__2016">#N/A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4" l="1"/>
</calcChain>
</file>

<file path=xl/sharedStrings.xml><?xml version="1.0" encoding="utf-8"?>
<sst xmlns="http://schemas.openxmlformats.org/spreadsheetml/2006/main" count="145" uniqueCount="79">
  <si>
    <t>State</t>
  </si>
  <si>
    <t>Uninsured Rate (2010)</t>
  </si>
  <si>
    <t>Uninsured Rate (2015)</t>
  </si>
  <si>
    <t>Uninsured Rate Change (2010-2015)</t>
  </si>
  <si>
    <t>Health Insurance Coverage Change (2010-2015)</t>
  </si>
  <si>
    <t>Employer Health Insurance Coverage (2015)</t>
  </si>
  <si>
    <t>Marketplace Health Insurance Coverage (2016)</t>
  </si>
  <si>
    <t>Marketplace Tax Credits (2016)</t>
  </si>
  <si>
    <t>Average Monthly Tax Credit (2016)</t>
  </si>
  <si>
    <t>State Medicaid Expansion (2016)</t>
  </si>
  <si>
    <t>Medicaid Enrollment (2013)</t>
  </si>
  <si>
    <t>Medicaid Enrollment (2016)</t>
  </si>
  <si>
    <t>Medicaid Enrollment Change (2013-2016)</t>
  </si>
  <si>
    <t>Medicare Enrollment (2016)</t>
  </si>
  <si>
    <t xml:space="preserve">Alabama </t>
  </si>
  <si>
    <t xml:space="preserve">Alaska </t>
  </si>
  <si>
    <t xml:space="preserve">Arizona </t>
  </si>
  <si>
    <t xml:space="preserve">Arkansas </t>
  </si>
  <si>
    <t>California</t>
  </si>
  <si>
    <t>Colorado</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</si>
  <si>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</si>
  <si>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</si>
  <si>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</si>
  <si>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</si>
  <si>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</si>
  <si>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</si>
  <si>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</si>
  <si>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</si>
  <si>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</si>
  <si>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</si>
  <si>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 xml:space="preserve">Kansas </t>
  </si>
  <si>
    <t>Kentucky</t>
  </si>
  <si>
    <t xml:space="preserve">Louisiana </t>
  </si>
  <si>
    <t xml:space="preserve">Maine </t>
  </si>
  <si>
    <t>Maryland</t>
  </si>
  <si>
    <t>Massachusetts</t>
  </si>
  <si>
    <t xml:space="preserve">Michigan </t>
  </si>
  <si>
    <t>Minnesota</t>
  </si>
  <si>
    <t xml:space="preserve">Mississippi </t>
  </si>
  <si>
    <t xml:space="preserve">Missouri </t>
  </si>
  <si>
    <t xml:space="preserve">Montana </t>
  </si>
  <si>
    <t xml:space="preserve">Nebraska </t>
  </si>
  <si>
    <t>Nevada</t>
  </si>
  <si>
    <t xml:space="preserve">New Hampshire </t>
  </si>
  <si>
    <t xml:space="preserve">New Jersey </t>
  </si>
  <si>
    <t>New Mexico</t>
  </si>
  <si>
    <t>New York</t>
  </si>
  <si>
    <t xml:space="preserve">North Carolina </t>
  </si>
  <si>
    <t xml:space="preserve">North Dakota </t>
  </si>
  <si>
    <t xml:space="preserve">Ohio </t>
  </si>
  <si>
    <t xml:space="preserve">Oklahoma </t>
  </si>
  <si>
    <t>Oregon</t>
  </si>
  <si>
    <t xml:space="preserve">Pennsylvania </t>
  </si>
  <si>
    <t>Rhode Island</t>
  </si>
  <si>
    <t xml:space="preserve">South Carolina </t>
  </si>
  <si>
    <t xml:space="preserve">South Dakota </t>
  </si>
  <si>
    <t xml:space="preserve">Tennessee </t>
  </si>
  <si>
    <t xml:space="preserve">Texas </t>
  </si>
  <si>
    <t xml:space="preserve">Utah </t>
  </si>
  <si>
    <t>Vermont</t>
  </si>
  <si>
    <t xml:space="preserve">Virginia </t>
  </si>
  <si>
    <t>Washington</t>
  </si>
  <si>
    <t xml:space="preserve">West Virginia </t>
  </si>
  <si>
    <t xml:space="preserve">Wisconsin </t>
  </si>
  <si>
    <t>Wyoming</t>
  </si>
  <si>
    <t>Average of Uninsured Rate Change (2010-2015)</t>
  </si>
  <si>
    <t>Average of Average Monthly Tax Credit (2016)</t>
  </si>
  <si>
    <t>Max of Average Monthly Tax Credit (2016)</t>
  </si>
  <si>
    <t>Row Labels</t>
  </si>
  <si>
    <t>Grand Total</t>
  </si>
  <si>
    <t>Sum of Medicaid Enrollment Change (2013-2016)</t>
  </si>
  <si>
    <t>Sum of Medicaid Enrollment (2013)</t>
  </si>
  <si>
    <t>Average of Uninsured Rate (2010)</t>
  </si>
  <si>
    <t>Average of Uninsured Rate (2015)</t>
  </si>
  <si>
    <t>TRUE</t>
  </si>
  <si>
    <t>Average of Medicaid Enrollment Change (2013-2016)</t>
  </si>
  <si>
    <t>Average of Employer Health Insurance Coverage (2015)</t>
  </si>
  <si>
    <t>Average of Medicare Enrollment (2016)</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</si>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</sst>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4568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0" fontId="0" fillId="0" borderId="0" xfId="0" applyNumberFormat="1"/>
    <xf numFmtId="6"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pivotButton="1" applyNumberFormat="1"/>
    <xf numFmtId="10" fontId="0" fillId="0" borderId="0" xfId="0" applyNumberFormat="1" applyAlignment="1">
      <alignment horizontal="left"/>
    </xf>
    <xf numFmtId="44" fontId="0" fillId="0" borderId="0" xfId="0" applyNumberFormat="1"/>
    <xf numFmtId="0" fontId="0" fillId="33" borderId="0" xfId="0" applyFill="1"/>
    <xf numFmtId="0" fontId="0" fillId="0" borderId="0" xfId="0" applyNumberFormat="1"/>
    <xf numFmtId="0" fontId="0" fillId="0" borderId="0" xfId="0" pivotButton="1" applyNumberFormat="1"/>
    <xf numFmtId="0" fontId="0" fillId="0" borderId="0" xfId="0" applyNumberForma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20">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4" formatCode="0.00%"/>
    </dxf>
    <dxf>
      <numFmt numFmtId="13"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0" formatCode="&quot;$&quot;#,##0_);[Red]\(&quot;$&quot;#,##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34568C"/>
      <color rgb="FF9F1E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2).xlsb.xlsx]trend analysis!PivotTable8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analysis'!$B$1</c:f>
              <c:strCache>
                <c:ptCount val="1"/>
                <c:pt idx="0">
                  <c:v>Average of Uninsured Rate (2010)</c:v>
                </c:pt>
              </c:strCache>
            </c:strRef>
          </c:tx>
          <c:spPr>
            <a:ln w="28575" cap="rnd">
              <a:solidFill>
                <a:schemeClr val="accent1"/>
              </a:solidFill>
              <a:round/>
            </a:ln>
            <a:effectLst/>
          </c:spPr>
          <c:marker>
            <c:symbol val="none"/>
          </c:marker>
          <c:cat>
            <c:strRef>
              <c:f>'trend analysis'!$A$2:$A$12</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'trend analysis'!$B$2:$B$12</c:f>
              <c:numCache>
                <c:formatCode>0.00%</c:formatCode>
                <c:ptCount val="10"/>
                <c:pt idx="0">
                  <c:v>0.19900000000000001</c:v>
                </c:pt>
                <c:pt idx="1">
                  <c:v>0.21299999999999999</c:v>
                </c:pt>
                <c:pt idx="2">
                  <c:v>0.19700000000000001</c:v>
                </c:pt>
                <c:pt idx="3">
                  <c:v>0.17799999999999999</c:v>
                </c:pt>
                <c:pt idx="4">
                  <c:v>0.182</c:v>
                </c:pt>
                <c:pt idx="5">
                  <c:v>0.17299999999999999</c:v>
                </c:pt>
                <c:pt idx="6">
                  <c:v>0.22600000000000001</c:v>
                </c:pt>
                <c:pt idx="7">
                  <c:v>0.189</c:v>
                </c:pt>
                <c:pt idx="8">
                  <c:v>0.23699999999999999</c:v>
                </c:pt>
                <c:pt idx="9">
                  <c:v>0.14899999999999999</c:v>
                </c:pt>
              </c:numCache>
            </c:numRef>
          </c:val>
          <c:smooth val="0"/>
          <c:extLst>
            <c:ext xmlns:c16="http://schemas.microsoft.com/office/drawing/2014/chart" uri="{C3380CC4-5D6E-409C-BE32-E72D297353CC}">
              <c16:uniqueId val="{00000002-DE37-4114-880C-7F2881558BDF}"/>
            </c:ext>
          </c:extLst>
        </c:ser>
        <c:ser>
          <c:idx val="1"/>
          <c:order val="1"/>
          <c:tx>
            <c:strRef>
              <c:f>'trend analysis'!$C$1</c:f>
              <c:strCache>
                <c:ptCount val="1"/>
                <c:pt idx="0">
                  <c:v>Average of Uninsured Rate (2015)</c:v>
                </c:pt>
              </c:strCache>
            </c:strRef>
          </c:tx>
          <c:spPr>
            <a:ln w="28575" cap="rnd">
              <a:solidFill>
                <a:schemeClr val="accent2"/>
              </a:solidFill>
              <a:round/>
            </a:ln>
            <a:effectLst/>
          </c:spPr>
          <c:marker>
            <c:symbol val="none"/>
          </c:marker>
          <c:cat>
            <c:strRef>
              <c:f>'trend analysis'!$A$2:$A$12</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'trend analysis'!$C$2:$C$12</c:f>
              <c:numCache>
                <c:formatCode>0.00%</c:formatCode>
                <c:ptCount val="10"/>
                <c:pt idx="0">
                  <c:v>0.14899999999999999</c:v>
                </c:pt>
                <c:pt idx="1">
                  <c:v>0.13300000000000001</c:v>
                </c:pt>
                <c:pt idx="2">
                  <c:v>0.13900000000000001</c:v>
                </c:pt>
                <c:pt idx="3">
                  <c:v>0.11899999999999999</c:v>
                </c:pt>
                <c:pt idx="4">
                  <c:v>0.127</c:v>
                </c:pt>
                <c:pt idx="5">
                  <c:v>0.11600000000000001</c:v>
                </c:pt>
                <c:pt idx="6">
                  <c:v>0.123</c:v>
                </c:pt>
                <c:pt idx="7">
                  <c:v>0.13900000000000001</c:v>
                </c:pt>
                <c:pt idx="8">
                  <c:v>0.17100000000000001</c:v>
                </c:pt>
                <c:pt idx="9">
                  <c:v>0.115</c:v>
                </c:pt>
              </c:numCache>
            </c:numRef>
          </c:val>
          <c:smooth val="0"/>
          <c:extLst>
            <c:ext xmlns:c16="http://schemas.microsoft.com/office/drawing/2014/chart" uri="{C3380CC4-5D6E-409C-BE32-E72D297353CC}">
              <c16:uniqueId val="{00000003-DE37-4114-880C-7F2881558BDF}"/>
            </c:ext>
          </c:extLst>
        </c:ser>
        <c:dLbls>
          <c:showLegendKey val="0"/>
          <c:showVal val="0"/>
          <c:showCatName val="0"/>
          <c:showSerName val="0"/>
          <c:showPercent val="0"/>
          <c:showBubbleSize val="0"/>
        </c:dLbls>
        <c:smooth val="0"/>
        <c:axId val="1895122703"/>
        <c:axId val="1895128943"/>
      </c:lineChart>
      <c:catAx>
        <c:axId val="189512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28943"/>
        <c:crosses val="autoZero"/>
        <c:auto val="1"/>
        <c:lblAlgn val="ctr"/>
        <c:lblOffset val="100"/>
        <c:noMultiLvlLbl val="0"/>
      </c:catAx>
      <c:valAx>
        <c:axId val="1895128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2).xlsb.xlsx]Sheet4!PivotTable9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Medical Expansion By Uninsured Rate Change (2010-2015)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cat>
            <c:strRef>
              <c:f>Sheet4!$A$2:$A$4</c:f>
              <c:strCache>
                <c:ptCount val="2"/>
                <c:pt idx="0">
                  <c:v>FALSE</c:v>
                </c:pt>
                <c:pt idx="1">
                  <c:v>TRUE</c:v>
                </c:pt>
              </c:strCache>
            </c:strRef>
          </c:cat>
          <c:val>
            <c:numRef>
              <c:f>Sheet4!$B$2:$B$4</c:f>
              <c:numCache>
                <c:formatCode>0.00%</c:formatCode>
                <c:ptCount val="2"/>
                <c:pt idx="0">
                  <c:v>-4.7210526315789481E-2</c:v>
                </c:pt>
                <c:pt idx="1">
                  <c:v>-5.856250000000001E-2</c:v>
                </c:pt>
              </c:numCache>
            </c:numRef>
          </c:val>
          <c:extLst>
            <c:ext xmlns:c16="http://schemas.microsoft.com/office/drawing/2014/chart" uri="{C3380CC4-5D6E-409C-BE32-E72D297353CC}">
              <c16:uniqueId val="{00000000-FD87-4530-AA48-AC84F85CF9E6}"/>
            </c:ext>
          </c:extLst>
        </c:ser>
        <c:dLbls>
          <c:showLegendKey val="0"/>
          <c:showVal val="0"/>
          <c:showCatName val="0"/>
          <c:showSerName val="0"/>
          <c:showPercent val="0"/>
          <c:showBubbleSize val="0"/>
        </c:dLbls>
        <c:gapWidth val="150"/>
        <c:shape val="box"/>
        <c:axId val="186162703"/>
        <c:axId val="186154063"/>
        <c:axId val="0"/>
      </c:bar3DChart>
      <c:catAx>
        <c:axId val="186162703"/>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4063"/>
        <c:crosses val="autoZero"/>
        <c:auto val="1"/>
        <c:lblAlgn val="ctr"/>
        <c:lblOffset val="100"/>
        <c:noMultiLvlLbl val="0"/>
      </c:catAx>
      <c:valAx>
        <c:axId val="1861540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2).xlsb.xlsx]Sheet5!PivotTable10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Mediciad</a:t>
            </a:r>
            <a:r>
              <a:rPr lang="en-US" baseline="0"/>
              <a:t> Expansion vs Medicaid Enrollment Change (2013-2016)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Sheet5!$B$1</c:f>
              <c:strCache>
                <c:ptCount val="1"/>
                <c:pt idx="0">
                  <c:v>Total</c:v>
                </c:pt>
              </c:strCache>
            </c:strRef>
          </c:tx>
          <c:spPr>
            <a:solidFill>
              <a:schemeClr val="accent1"/>
            </a:solidFill>
            <a:ln>
              <a:noFill/>
            </a:ln>
            <a:effectLst/>
            <a:sp3d/>
          </c:spPr>
          <c:invertIfNegative val="0"/>
          <c:cat>
            <c:strRef>
              <c:f>Sheet5!$A$2:$A$4</c:f>
              <c:strCache>
                <c:ptCount val="2"/>
                <c:pt idx="0">
                  <c:v>FALSE</c:v>
                </c:pt>
                <c:pt idx="1">
                  <c:v>TRUE</c:v>
                </c:pt>
              </c:strCache>
            </c:strRef>
          </c:cat>
          <c:val>
            <c:numRef>
              <c:f>Sheet5!$B$2:$B$4</c:f>
              <c:numCache>
                <c:formatCode>General</c:formatCode>
                <c:ptCount val="2"/>
                <c:pt idx="0">
                  <c:v>144447.66666666666</c:v>
                </c:pt>
                <c:pt idx="1">
                  <c:v>435680.61290322582</c:v>
                </c:pt>
              </c:numCache>
            </c:numRef>
          </c:val>
          <c:extLst>
            <c:ext xmlns:c16="http://schemas.microsoft.com/office/drawing/2014/chart" uri="{C3380CC4-5D6E-409C-BE32-E72D297353CC}">
              <c16:uniqueId val="{00000000-F53F-4EB7-89B0-1021B600BFD3}"/>
            </c:ext>
          </c:extLst>
        </c:ser>
        <c:dLbls>
          <c:showLegendKey val="0"/>
          <c:showVal val="0"/>
          <c:showCatName val="0"/>
          <c:showSerName val="0"/>
          <c:showPercent val="0"/>
          <c:showBubbleSize val="0"/>
        </c:dLbls>
        <c:gapWidth val="219"/>
        <c:shape val="box"/>
        <c:axId val="186179023"/>
        <c:axId val="186179503"/>
        <c:axId val="0"/>
      </c:bar3DChart>
      <c:catAx>
        <c:axId val="1861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503"/>
        <c:crosses val="autoZero"/>
        <c:auto val="1"/>
        <c:lblAlgn val="ctr"/>
        <c:lblOffset val="100"/>
        <c:noMultiLvlLbl val="0"/>
      </c:catAx>
      <c:valAx>
        <c:axId val="18617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2).xlsb.xlsx]State with higher employer cove!PivotTable14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with higher employer cove'!$B$3</c:f>
              <c:strCache>
                <c:ptCount val="1"/>
                <c:pt idx="0">
                  <c:v>Total</c:v>
                </c:pt>
              </c:strCache>
            </c:strRef>
          </c:tx>
          <c:spPr>
            <a:solidFill>
              <a:schemeClr val="accent1"/>
            </a:solidFill>
            <a:ln>
              <a:noFill/>
            </a:ln>
            <a:effectLst/>
          </c:spPr>
          <c:invertIfNegative val="0"/>
          <c:cat>
            <c:strRef>
              <c:f>'State with higher employer cove'!$A$4:$A$14</c:f>
              <c:strCache>
                <c:ptCount val="10"/>
                <c:pt idx="0">
                  <c:v>Georgia </c:v>
                </c:pt>
                <c:pt idx="1">
                  <c:v>New Jersey </c:v>
                </c:pt>
                <c:pt idx="2">
                  <c:v>Michigan </c:v>
                </c:pt>
                <c:pt idx="3">
                  <c:v>Ohio </c:v>
                </c:pt>
                <c:pt idx="4">
                  <c:v>Illinois </c:v>
                </c:pt>
                <c:pt idx="5">
                  <c:v>Pennsylvania </c:v>
                </c:pt>
                <c:pt idx="6">
                  <c:v>Florida </c:v>
                </c:pt>
                <c:pt idx="7">
                  <c:v>New York</c:v>
                </c:pt>
                <c:pt idx="8">
                  <c:v>Texas </c:v>
                </c:pt>
                <c:pt idx="9">
                  <c:v>California</c:v>
                </c:pt>
              </c:strCache>
            </c:strRef>
          </c:cat>
          <c:val>
            <c:numRef>
              <c:f>'State with higher employer cove'!$B$4:$B$14</c:f>
              <c:numCache>
                <c:formatCode>General</c:formatCode>
                <c:ptCount val="10"/>
                <c:pt idx="0">
                  <c:v>5240000</c:v>
                </c:pt>
                <c:pt idx="1">
                  <c:v>5450000</c:v>
                </c:pt>
                <c:pt idx="2">
                  <c:v>5876000</c:v>
                </c:pt>
                <c:pt idx="3">
                  <c:v>6831000</c:v>
                </c:pt>
                <c:pt idx="4">
                  <c:v>7359000</c:v>
                </c:pt>
                <c:pt idx="5">
                  <c:v>7502000</c:v>
                </c:pt>
                <c:pt idx="6">
                  <c:v>8847000</c:v>
                </c:pt>
                <c:pt idx="7">
                  <c:v>10895000</c:v>
                </c:pt>
                <c:pt idx="8">
                  <c:v>13709000</c:v>
                </c:pt>
                <c:pt idx="9">
                  <c:v>19552000</c:v>
                </c:pt>
              </c:numCache>
            </c:numRef>
          </c:val>
          <c:extLst>
            <c:ext xmlns:c16="http://schemas.microsoft.com/office/drawing/2014/chart" uri="{C3380CC4-5D6E-409C-BE32-E72D297353CC}">
              <c16:uniqueId val="{00000000-06BB-43D2-B566-35B706D36FAB}"/>
            </c:ext>
          </c:extLst>
        </c:ser>
        <c:dLbls>
          <c:showLegendKey val="0"/>
          <c:showVal val="0"/>
          <c:showCatName val="0"/>
          <c:showSerName val="0"/>
          <c:showPercent val="0"/>
          <c:showBubbleSize val="0"/>
        </c:dLbls>
        <c:gapWidth val="182"/>
        <c:axId val="186172303"/>
        <c:axId val="186163663"/>
      </c:barChart>
      <c:catAx>
        <c:axId val="1861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3663"/>
        <c:crosses val="autoZero"/>
        <c:auto val="1"/>
        <c:lblAlgn val="ctr"/>
        <c:lblOffset val="100"/>
        <c:noMultiLvlLbl val="0"/>
      </c:catAx>
      <c:valAx>
        <c:axId val="186163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2).xlsb.xlsx]employer coverage vs uninsured !PivotTable15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'employer coverage vs uninsured '!$C$1</c:f>
              <c:strCache>
                <c:ptCount val="1"/>
                <c:pt idx="0">
                  <c:v>Average of Uninsured Rate (2015)</c:v>
                </c:pt>
              </c:strCache>
            </c:strRef>
          </c:tx>
          <c:spPr>
            <a:solidFill>
              <a:schemeClr val="accent2"/>
            </a:solidFill>
            <a:ln>
              <a:noFill/>
            </a:ln>
            <a:effectLst/>
          </c:spPr>
          <c:invertIfNegative val="0"/>
          <c:cat>
            <c:strRef>
              <c:f>'employer coverage vs uninsured '!$A$2:$A$12</c:f>
              <c:strCache>
                <c:ptCount val="10"/>
                <c:pt idx="0">
                  <c:v>Texas </c:v>
                </c:pt>
                <c:pt idx="1">
                  <c:v>Pennsylvania </c:v>
                </c:pt>
                <c:pt idx="2">
                  <c:v>Ohio </c:v>
                </c:pt>
                <c:pt idx="3">
                  <c:v>New York</c:v>
                </c:pt>
                <c:pt idx="4">
                  <c:v>New Jersey </c:v>
                </c:pt>
                <c:pt idx="5">
                  <c:v>Michigan </c:v>
                </c:pt>
                <c:pt idx="6">
                  <c:v>Illinois </c:v>
                </c:pt>
                <c:pt idx="7">
                  <c:v>Georgia </c:v>
                </c:pt>
                <c:pt idx="8">
                  <c:v>Florida </c:v>
                </c:pt>
                <c:pt idx="9">
                  <c:v>California</c:v>
                </c:pt>
              </c:strCache>
            </c:strRef>
          </c:cat>
          <c:val>
            <c:numRef>
              <c:f>'employer coverage vs uninsured '!$C$2:$C$12</c:f>
              <c:numCache>
                <c:formatCode>0%</c:formatCode>
                <c:ptCount val="10"/>
                <c:pt idx="0">
                  <c:v>0.17100000000000001</c:v>
                </c:pt>
                <c:pt idx="1">
                  <c:v>6.4000000000000001E-2</c:v>
                </c:pt>
                <c:pt idx="2">
                  <c:v>6.5000000000000002E-2</c:v>
                </c:pt>
                <c:pt idx="3">
                  <c:v>7.0999999999999994E-2</c:v>
                </c:pt>
                <c:pt idx="4">
                  <c:v>8.6999999999999994E-2</c:v>
                </c:pt>
                <c:pt idx="5">
                  <c:v>6.0999999999999999E-2</c:v>
                </c:pt>
                <c:pt idx="6">
                  <c:v>7.0999999999999994E-2</c:v>
                </c:pt>
                <c:pt idx="7">
                  <c:v>0.13900000000000001</c:v>
                </c:pt>
                <c:pt idx="8">
                  <c:v>0.13300000000000001</c:v>
                </c:pt>
                <c:pt idx="9">
                  <c:v>8.5999999999999993E-2</c:v>
                </c:pt>
              </c:numCache>
            </c:numRef>
          </c:val>
          <c:extLst>
            <c:ext xmlns:c16="http://schemas.microsoft.com/office/drawing/2014/chart" uri="{C3380CC4-5D6E-409C-BE32-E72D297353CC}">
              <c16:uniqueId val="{00000001-D8FE-4FC9-A534-E72A8403C074}"/>
            </c:ext>
          </c:extLst>
        </c:ser>
        <c:dLbls>
          <c:showLegendKey val="0"/>
          <c:showVal val="0"/>
          <c:showCatName val="0"/>
          <c:showSerName val="0"/>
          <c:showPercent val="0"/>
          <c:showBubbleSize val="0"/>
        </c:dLbls>
        <c:gapWidth val="219"/>
        <c:axId val="186172783"/>
        <c:axId val="186152143"/>
      </c:barChart>
      <c:lineChart>
        <c:grouping val="standard"/>
        <c:varyColors val="0"/>
        <c:ser>
          <c:idx val="0"/>
          <c:order val="0"/>
          <c:tx>
            <c:strRef>
              <c:f>'employer coverage vs uninsured '!$B$1</c:f>
              <c:strCache>
                <c:ptCount val="1"/>
                <c:pt idx="0">
                  <c:v>Average of Employer Health Insurance Coverage (2015)</c:v>
                </c:pt>
              </c:strCache>
            </c:strRef>
          </c:tx>
          <c:spPr>
            <a:ln w="28575" cap="rnd">
              <a:solidFill>
                <a:schemeClr val="accent1"/>
              </a:solidFill>
              <a:round/>
            </a:ln>
            <a:effectLst/>
          </c:spPr>
          <c:marker>
            <c:symbol val="none"/>
          </c:marker>
          <c:cat>
            <c:strRef>
              <c:f>'employer coverage vs uninsured '!$A$2:$A$12</c:f>
              <c:strCache>
                <c:ptCount val="10"/>
                <c:pt idx="0">
                  <c:v>Texas </c:v>
                </c:pt>
                <c:pt idx="1">
                  <c:v>Pennsylvania </c:v>
                </c:pt>
                <c:pt idx="2">
                  <c:v>Ohio </c:v>
                </c:pt>
                <c:pt idx="3">
                  <c:v>New York</c:v>
                </c:pt>
                <c:pt idx="4">
                  <c:v>New Jersey </c:v>
                </c:pt>
                <c:pt idx="5">
                  <c:v>Michigan </c:v>
                </c:pt>
                <c:pt idx="6">
                  <c:v>Illinois </c:v>
                </c:pt>
                <c:pt idx="7">
                  <c:v>Georgia </c:v>
                </c:pt>
                <c:pt idx="8">
                  <c:v>Florida </c:v>
                </c:pt>
                <c:pt idx="9">
                  <c:v>California</c:v>
                </c:pt>
              </c:strCache>
            </c:strRef>
          </c:cat>
          <c:val>
            <c:numRef>
              <c:f>'employer coverage vs uninsured '!$B$2:$B$12</c:f>
              <c:numCache>
                <c:formatCode>General</c:formatCode>
                <c:ptCount val="10"/>
                <c:pt idx="0">
                  <c:v>13709000</c:v>
                </c:pt>
                <c:pt idx="1">
                  <c:v>7502000</c:v>
                </c:pt>
                <c:pt idx="2">
                  <c:v>6831000</c:v>
                </c:pt>
                <c:pt idx="3">
                  <c:v>10895000</c:v>
                </c:pt>
                <c:pt idx="4">
                  <c:v>5450000</c:v>
                </c:pt>
                <c:pt idx="5">
                  <c:v>5876000</c:v>
                </c:pt>
                <c:pt idx="6">
                  <c:v>7359000</c:v>
                </c:pt>
                <c:pt idx="7">
                  <c:v>5240000</c:v>
                </c:pt>
                <c:pt idx="8">
                  <c:v>8847000</c:v>
                </c:pt>
                <c:pt idx="9">
                  <c:v>19552000</c:v>
                </c:pt>
              </c:numCache>
            </c:numRef>
          </c:val>
          <c:smooth val="0"/>
          <c:extLst>
            <c:ext xmlns:c16="http://schemas.microsoft.com/office/drawing/2014/chart" uri="{C3380CC4-5D6E-409C-BE32-E72D297353CC}">
              <c16:uniqueId val="{00000000-D8FE-4FC9-A534-E72A8403C074}"/>
            </c:ext>
          </c:extLst>
        </c:ser>
        <c:dLbls>
          <c:showLegendKey val="0"/>
          <c:showVal val="0"/>
          <c:showCatName val="0"/>
          <c:showSerName val="0"/>
          <c:showPercent val="0"/>
          <c:showBubbleSize val="0"/>
        </c:dLbls>
        <c:marker val="1"/>
        <c:smooth val="0"/>
        <c:axId val="186164143"/>
        <c:axId val="186165103"/>
      </c:lineChart>
      <c:catAx>
        <c:axId val="1861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5103"/>
        <c:crosses val="autoZero"/>
        <c:auto val="1"/>
        <c:lblAlgn val="ctr"/>
        <c:lblOffset val="100"/>
        <c:noMultiLvlLbl val="0"/>
      </c:catAx>
      <c:valAx>
        <c:axId val="1861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4143"/>
        <c:crosses val="autoZero"/>
        <c:crossBetween val="between"/>
      </c:valAx>
      <c:valAx>
        <c:axId val="1861521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2783"/>
        <c:crosses val="max"/>
        <c:crossBetween val="between"/>
      </c:valAx>
      <c:catAx>
        <c:axId val="186172783"/>
        <c:scaling>
          <c:orientation val="minMax"/>
        </c:scaling>
        <c:delete val="1"/>
        <c:axPos val="b"/>
        <c:numFmt formatCode="General" sourceLinked="1"/>
        <c:majorTickMark val="out"/>
        <c:minorTickMark val="none"/>
        <c:tickLblPos val="nextTo"/>
        <c:crossAx val="1861521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2).xlsb.xlsx]Medicare vs Medicaid!PivotTable16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'Medicare vs Medicaid'!$B$1</c:f>
              <c:strCache>
                <c:ptCount val="1"/>
                <c:pt idx="0">
                  <c:v>Average of Uninsured Rate (2015)</c:v>
                </c:pt>
              </c:strCache>
            </c:strRef>
          </c:tx>
          <c:spPr>
            <a:solidFill>
              <a:schemeClr val="accent1"/>
            </a:solidFill>
            <a:ln>
              <a:noFill/>
            </a:ln>
            <a:effectLst/>
          </c:spPr>
          <c:invertIfNegative val="0"/>
          <c:cat>
            <c:strRef>
              <c:f>'Medicare vs Medicaid'!$A$2:$A$3</c:f>
              <c:strCache>
                <c:ptCount val="1"/>
                <c:pt idx="0">
                  <c:v>Louisiana </c:v>
                </c:pt>
              </c:strCache>
            </c:strRef>
          </c:cat>
          <c:val>
            <c:numRef>
              <c:f>'Medicare vs Medicaid'!$B$2:$B$3</c:f>
              <c:numCache>
                <c:formatCode>0%</c:formatCode>
                <c:ptCount val="1"/>
                <c:pt idx="0">
                  <c:v>0.11899999999999999</c:v>
                </c:pt>
              </c:numCache>
            </c:numRef>
          </c:val>
          <c:extLst>
            <c:ext xmlns:c16="http://schemas.microsoft.com/office/drawing/2014/chart" uri="{C3380CC4-5D6E-409C-BE32-E72D297353CC}">
              <c16:uniqueId val="{00000000-C604-4CBE-939A-0CFD96C3BE55}"/>
            </c:ext>
          </c:extLst>
        </c:ser>
        <c:dLbls>
          <c:showLegendKey val="0"/>
          <c:showVal val="0"/>
          <c:showCatName val="0"/>
          <c:showSerName val="0"/>
          <c:showPercent val="0"/>
          <c:showBubbleSize val="0"/>
        </c:dLbls>
        <c:gapWidth val="219"/>
        <c:overlap val="-27"/>
        <c:axId val="186145423"/>
        <c:axId val="186131023"/>
      </c:barChart>
      <c:lineChart>
        <c:grouping val="standard"/>
        <c:varyColors val="0"/>
        <c:ser>
          <c:idx val="1"/>
          <c:order val="1"/>
          <c:tx>
            <c:strRef>
              <c:f>'Medicare vs Medicaid'!$C$1</c:f>
              <c:strCache>
                <c:ptCount val="1"/>
                <c:pt idx="0">
                  <c:v>Average of Medicare Enrollment (2016)</c:v>
                </c:pt>
              </c:strCache>
            </c:strRef>
          </c:tx>
          <c:spPr>
            <a:ln w="28575" cap="rnd">
              <a:solidFill>
                <a:schemeClr val="accent2"/>
              </a:solidFill>
              <a:round/>
            </a:ln>
            <a:effectLst/>
          </c:spPr>
          <c:marker>
            <c:symbol val="none"/>
          </c:marker>
          <c:cat>
            <c:strRef>
              <c:f>'Medicare vs Medicaid'!$A$2:$A$3</c:f>
              <c:strCache>
                <c:ptCount val="1"/>
                <c:pt idx="0">
                  <c:v>Louisiana </c:v>
                </c:pt>
              </c:strCache>
            </c:strRef>
          </c:cat>
          <c:val>
            <c:numRef>
              <c:f>'Medicare vs Medicaid'!$C$2:$C$3</c:f>
              <c:numCache>
                <c:formatCode>General</c:formatCode>
                <c:ptCount val="1"/>
                <c:pt idx="0">
                  <c:v>817272</c:v>
                </c:pt>
              </c:numCache>
            </c:numRef>
          </c:val>
          <c:smooth val="0"/>
          <c:extLst>
            <c:ext xmlns:c16="http://schemas.microsoft.com/office/drawing/2014/chart" uri="{C3380CC4-5D6E-409C-BE32-E72D297353CC}">
              <c16:uniqueId val="{00000001-C604-4CBE-939A-0CFD96C3BE55}"/>
            </c:ext>
          </c:extLst>
        </c:ser>
        <c:dLbls>
          <c:showLegendKey val="0"/>
          <c:showVal val="0"/>
          <c:showCatName val="0"/>
          <c:showSerName val="0"/>
          <c:showPercent val="0"/>
          <c:showBubbleSize val="0"/>
        </c:dLbls>
        <c:marker val="1"/>
        <c:smooth val="0"/>
        <c:axId val="186117103"/>
        <c:axId val="186130063"/>
      </c:lineChart>
      <c:catAx>
        <c:axId val="18611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0063"/>
        <c:crosses val="autoZero"/>
        <c:auto val="1"/>
        <c:lblAlgn val="ctr"/>
        <c:lblOffset val="100"/>
        <c:noMultiLvlLbl val="0"/>
      </c:catAx>
      <c:valAx>
        <c:axId val="18613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7103"/>
        <c:crosses val="autoZero"/>
        <c:crossBetween val="between"/>
      </c:valAx>
      <c:valAx>
        <c:axId val="1861310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5423"/>
        <c:crosses val="max"/>
        <c:crossBetween val="between"/>
      </c:valAx>
      <c:catAx>
        <c:axId val="186145423"/>
        <c:scaling>
          <c:orientation val="minMax"/>
        </c:scaling>
        <c:delete val="1"/>
        <c:axPos val="b"/>
        <c:numFmt formatCode="General" sourceLinked="1"/>
        <c:majorTickMark val="out"/>
        <c:minorTickMark val="none"/>
        <c:tickLblPos val="nextTo"/>
        <c:crossAx val="186131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2).xlsb.xlsx]Medicare vs Medicaid!PivotTable17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'Medicare vs Medicaid'!$B$25</c:f>
              <c:strCache>
                <c:ptCount val="1"/>
                <c:pt idx="0">
                  <c:v>Total</c:v>
                </c:pt>
              </c:strCache>
            </c:strRef>
          </c:tx>
          <c:spPr>
            <a:solidFill>
              <a:schemeClr val="accent1"/>
            </a:solidFill>
            <a:ln>
              <a:noFill/>
            </a:ln>
            <a:effectLst/>
            <a:sp3d/>
          </c:spPr>
          <c:invertIfNegative val="0"/>
          <c:cat>
            <c:strRef>
              <c:f>'Medicare vs Medicaid'!$A$26:$A$28</c:f>
              <c:strCache>
                <c:ptCount val="2"/>
                <c:pt idx="0">
                  <c:v>FALSE</c:v>
                </c:pt>
                <c:pt idx="1">
                  <c:v>TRUE</c:v>
                </c:pt>
              </c:strCache>
            </c:strRef>
          </c:cat>
          <c:val>
            <c:numRef>
              <c:f>'Medicare vs Medicaid'!$B$26:$B$28</c:f>
              <c:numCache>
                <c:formatCode>General</c:formatCode>
                <c:ptCount val="2"/>
                <c:pt idx="0">
                  <c:v>1131655.0526315789</c:v>
                </c:pt>
                <c:pt idx="1">
                  <c:v>1074767.09375</c:v>
                </c:pt>
              </c:numCache>
            </c:numRef>
          </c:val>
          <c:extLst>
            <c:ext xmlns:c16="http://schemas.microsoft.com/office/drawing/2014/chart" uri="{C3380CC4-5D6E-409C-BE32-E72D297353CC}">
              <c16:uniqueId val="{00000000-BA19-4022-9C5B-CF774327D942}"/>
            </c:ext>
          </c:extLst>
        </c:ser>
        <c:dLbls>
          <c:showLegendKey val="0"/>
          <c:showVal val="0"/>
          <c:showCatName val="0"/>
          <c:showSerName val="0"/>
          <c:showPercent val="0"/>
          <c:showBubbleSize val="0"/>
        </c:dLbls>
        <c:gapWidth val="150"/>
        <c:shape val="box"/>
        <c:axId val="186175663"/>
        <c:axId val="186176623"/>
        <c:axId val="0"/>
      </c:bar3DChart>
      <c:catAx>
        <c:axId val="18617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6623"/>
        <c:crosses val="autoZero"/>
        <c:auto val="1"/>
        <c:lblAlgn val="ctr"/>
        <c:lblOffset val="100"/>
        <c:noMultiLvlLbl val="0"/>
      </c:catAx>
      <c:valAx>
        <c:axId val="18617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2).xlsb.xlsx]Top 10 States with the greatest!PivotTable1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with the greatest'!$B$1</c:f>
              <c:strCache>
                <c:ptCount val="1"/>
                <c:pt idx="0">
                  <c:v>Total</c:v>
                </c:pt>
              </c:strCache>
            </c:strRef>
          </c:tx>
          <c:spPr>
            <a:solidFill>
              <a:schemeClr val="accent1"/>
            </a:solidFill>
            <a:ln>
              <a:noFill/>
            </a:ln>
            <a:effectLst/>
          </c:spPr>
          <c:invertIfNegative val="0"/>
          <c:cat>
            <c:strRef>
              <c:f>'Top 10 States with the greatest'!$A$2:$A$12</c:f>
              <c:strCache>
                <c:ptCount val="10"/>
                <c:pt idx="0">
                  <c:v>Washington</c:v>
                </c:pt>
                <c:pt idx="1">
                  <c:v>Colorado</c:v>
                </c:pt>
                <c:pt idx="2">
                  <c:v>Arkansas </c:v>
                </c:pt>
                <c:pt idx="3">
                  <c:v>Florida </c:v>
                </c:pt>
                <c:pt idx="4">
                  <c:v>West Virginia </c:v>
                </c:pt>
                <c:pt idx="5">
                  <c:v>New Mexico</c:v>
                </c:pt>
                <c:pt idx="6">
                  <c:v>Kentucky</c:v>
                </c:pt>
                <c:pt idx="7">
                  <c:v>California</c:v>
                </c:pt>
                <c:pt idx="8">
                  <c:v>Oregon</c:v>
                </c:pt>
                <c:pt idx="9">
                  <c:v>Nevada</c:v>
                </c:pt>
              </c:strCache>
            </c:strRef>
          </c:cat>
          <c:val>
            <c:numRef>
              <c:f>'Top 10 States with the greatest'!$B$2:$B$12</c:f>
              <c:numCache>
                <c:formatCode>0.00%</c:formatCode>
                <c:ptCount val="10"/>
                <c:pt idx="0">
                  <c:v>-7.5999999999999998E-2</c:v>
                </c:pt>
                <c:pt idx="1">
                  <c:v>-7.8E-2</c:v>
                </c:pt>
                <c:pt idx="2">
                  <c:v>-0.08</c:v>
                </c:pt>
                <c:pt idx="3">
                  <c:v>-0.08</c:v>
                </c:pt>
                <c:pt idx="4">
                  <c:v>-8.5999999999999993E-2</c:v>
                </c:pt>
                <c:pt idx="5">
                  <c:v>-8.6999999999999994E-2</c:v>
                </c:pt>
                <c:pt idx="6">
                  <c:v>-9.2999999999999999E-2</c:v>
                </c:pt>
                <c:pt idx="7">
                  <c:v>-9.9000000000000005E-2</c:v>
                </c:pt>
                <c:pt idx="8">
                  <c:v>-0.10100000000000001</c:v>
                </c:pt>
                <c:pt idx="9">
                  <c:v>-0.10299999999999999</c:v>
                </c:pt>
              </c:numCache>
            </c:numRef>
          </c:val>
          <c:extLst>
            <c:ext xmlns:c16="http://schemas.microsoft.com/office/drawing/2014/chart" uri="{C3380CC4-5D6E-409C-BE32-E72D297353CC}">
              <c16:uniqueId val="{00000000-39CB-493D-A962-7E618493376A}"/>
            </c:ext>
          </c:extLst>
        </c:ser>
        <c:dLbls>
          <c:showLegendKey val="0"/>
          <c:showVal val="0"/>
          <c:showCatName val="0"/>
          <c:showSerName val="0"/>
          <c:showPercent val="0"/>
          <c:showBubbleSize val="0"/>
        </c:dLbls>
        <c:gapWidth val="219"/>
        <c:axId val="1083011919"/>
        <c:axId val="1082993679"/>
      </c:barChart>
      <c:catAx>
        <c:axId val="1083011919"/>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93679"/>
        <c:crosses val="autoZero"/>
        <c:auto val="1"/>
        <c:lblAlgn val="ctr"/>
        <c:lblOffset val="100"/>
        <c:noMultiLvlLbl val="0"/>
      </c:catAx>
      <c:valAx>
        <c:axId val="10829936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01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2).xlsb.xlsx]trend analysis!PivotTable8</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Trend</a:t>
            </a:r>
            <a:r>
              <a:rPr lang="en-US" b="1" baseline="0">
                <a:solidFill>
                  <a:schemeClr val="bg1"/>
                </a:solidFill>
              </a:rPr>
              <a:t> Analysis of Uninsured Rates (2010 vs 2015)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analysis'!$B$1</c:f>
              <c:strCache>
                <c:ptCount val="1"/>
                <c:pt idx="0">
                  <c:v>Average of Uninsured Rate (2010)</c:v>
                </c:pt>
              </c:strCache>
            </c:strRef>
          </c:tx>
          <c:spPr>
            <a:ln w="28575" cap="rnd">
              <a:solidFill>
                <a:schemeClr val="bg1"/>
              </a:solidFill>
              <a:round/>
            </a:ln>
            <a:effectLst/>
          </c:spPr>
          <c:marker>
            <c:symbol val="none"/>
          </c:marker>
          <c:cat>
            <c:strRef>
              <c:f>'trend analysis'!$A$2:$A$12</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'trend analysis'!$B$2:$B$12</c:f>
              <c:numCache>
                <c:formatCode>0.00%</c:formatCode>
                <c:ptCount val="10"/>
                <c:pt idx="0">
                  <c:v>0.19900000000000001</c:v>
                </c:pt>
                <c:pt idx="1">
                  <c:v>0.21299999999999999</c:v>
                </c:pt>
                <c:pt idx="2">
                  <c:v>0.19700000000000001</c:v>
                </c:pt>
                <c:pt idx="3">
                  <c:v>0.17799999999999999</c:v>
                </c:pt>
                <c:pt idx="4">
                  <c:v>0.182</c:v>
                </c:pt>
                <c:pt idx="5">
                  <c:v>0.17299999999999999</c:v>
                </c:pt>
                <c:pt idx="6">
                  <c:v>0.22600000000000001</c:v>
                </c:pt>
                <c:pt idx="7">
                  <c:v>0.189</c:v>
                </c:pt>
                <c:pt idx="8">
                  <c:v>0.23699999999999999</c:v>
                </c:pt>
                <c:pt idx="9">
                  <c:v>0.14899999999999999</c:v>
                </c:pt>
              </c:numCache>
            </c:numRef>
          </c:val>
          <c:smooth val="0"/>
          <c:extLst>
            <c:ext xmlns:c16="http://schemas.microsoft.com/office/drawing/2014/chart" uri="{C3380CC4-5D6E-409C-BE32-E72D297353CC}">
              <c16:uniqueId val="{00000000-8633-4CD7-B65A-2DB3F3C76B1B}"/>
            </c:ext>
          </c:extLst>
        </c:ser>
        <c:ser>
          <c:idx val="1"/>
          <c:order val="1"/>
          <c:tx>
            <c:strRef>
              <c:f>'trend analysis'!$C$1</c:f>
              <c:strCache>
                <c:ptCount val="1"/>
                <c:pt idx="0">
                  <c:v>Average of Uninsured Rate (2015)</c:v>
                </c:pt>
              </c:strCache>
            </c:strRef>
          </c:tx>
          <c:spPr>
            <a:ln w="28575" cap="rnd">
              <a:solidFill>
                <a:schemeClr val="tx1">
                  <a:lumMod val="95000"/>
                  <a:lumOff val="5000"/>
                </a:schemeClr>
              </a:solidFill>
              <a:round/>
            </a:ln>
            <a:effectLst/>
          </c:spPr>
          <c:marker>
            <c:symbol val="none"/>
          </c:marker>
          <c:cat>
            <c:strRef>
              <c:f>'trend analysis'!$A$2:$A$12</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'trend analysis'!$C$2:$C$12</c:f>
              <c:numCache>
                <c:formatCode>0.00%</c:formatCode>
                <c:ptCount val="10"/>
                <c:pt idx="0">
                  <c:v>0.14899999999999999</c:v>
                </c:pt>
                <c:pt idx="1">
                  <c:v>0.13300000000000001</c:v>
                </c:pt>
                <c:pt idx="2">
                  <c:v>0.13900000000000001</c:v>
                </c:pt>
                <c:pt idx="3">
                  <c:v>0.11899999999999999</c:v>
                </c:pt>
                <c:pt idx="4">
                  <c:v>0.127</c:v>
                </c:pt>
                <c:pt idx="5">
                  <c:v>0.11600000000000001</c:v>
                </c:pt>
                <c:pt idx="6">
                  <c:v>0.123</c:v>
                </c:pt>
                <c:pt idx="7">
                  <c:v>0.13900000000000001</c:v>
                </c:pt>
                <c:pt idx="8">
                  <c:v>0.17100000000000001</c:v>
                </c:pt>
                <c:pt idx="9">
                  <c:v>0.115</c:v>
                </c:pt>
              </c:numCache>
            </c:numRef>
          </c:val>
          <c:smooth val="0"/>
          <c:extLst>
            <c:ext xmlns:c16="http://schemas.microsoft.com/office/drawing/2014/chart" uri="{C3380CC4-5D6E-409C-BE32-E72D297353CC}">
              <c16:uniqueId val="{00000001-8633-4CD7-B65A-2DB3F3C76B1B}"/>
            </c:ext>
          </c:extLst>
        </c:ser>
        <c:dLbls>
          <c:showLegendKey val="0"/>
          <c:showVal val="0"/>
          <c:showCatName val="0"/>
          <c:showSerName val="0"/>
          <c:showPercent val="0"/>
          <c:showBubbleSize val="0"/>
        </c:dLbls>
        <c:smooth val="0"/>
        <c:axId val="1895122703"/>
        <c:axId val="1895128943"/>
      </c:lineChart>
      <c:catAx>
        <c:axId val="189512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5128943"/>
        <c:crosses val="autoZero"/>
        <c:auto val="1"/>
        <c:lblAlgn val="ctr"/>
        <c:lblOffset val="100"/>
        <c:noMultiLvlLbl val="0"/>
      </c:catAx>
      <c:valAx>
        <c:axId val="1895128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51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2).xlsb.xlsx]State with higher employer cove!PivotTable14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 10 State with Higher Employer Health Insurance</a:t>
            </a:r>
            <a:r>
              <a:rPr lang="en-US" b="1" baseline="0">
                <a:solidFill>
                  <a:schemeClr val="bg1"/>
                </a:solidFill>
              </a:rPr>
              <a:t> Coverage (2015)</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with higher employer cove'!$B$3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with higher employer cove'!$A$4:$A$14</c:f>
              <c:strCache>
                <c:ptCount val="10"/>
                <c:pt idx="0">
                  <c:v>Georgia </c:v>
                </c:pt>
                <c:pt idx="1">
                  <c:v>New Jersey </c:v>
                </c:pt>
                <c:pt idx="2">
                  <c:v>Michigan </c:v>
                </c:pt>
                <c:pt idx="3">
                  <c:v>Ohio </c:v>
                </c:pt>
                <c:pt idx="4">
                  <c:v>Illinois </c:v>
                </c:pt>
                <c:pt idx="5">
                  <c:v>Pennsylvania </c:v>
                </c:pt>
                <c:pt idx="6">
                  <c:v>Florida </c:v>
                </c:pt>
                <c:pt idx="7">
                  <c:v>New York</c:v>
                </c:pt>
                <c:pt idx="8">
                  <c:v>Texas </c:v>
                </c:pt>
                <c:pt idx="9">
                  <c:v>California</c:v>
                </c:pt>
              </c:strCache>
            </c:strRef>
          </c:cat>
          <c:val>
            <c:numRef>
              <c:f>'State with higher employer cove'!$B$4:$B$14</c:f>
              <c:numCache>
                <c:formatCode>General</c:formatCode>
                <c:ptCount val="10"/>
                <c:pt idx="0">
                  <c:v>5240000</c:v>
                </c:pt>
                <c:pt idx="1">
                  <c:v>5450000</c:v>
                </c:pt>
                <c:pt idx="2">
                  <c:v>5876000</c:v>
                </c:pt>
                <c:pt idx="3">
                  <c:v>6831000</c:v>
                </c:pt>
                <c:pt idx="4">
                  <c:v>7359000</c:v>
                </c:pt>
                <c:pt idx="5">
                  <c:v>7502000</c:v>
                </c:pt>
                <c:pt idx="6">
                  <c:v>8847000</c:v>
                </c:pt>
                <c:pt idx="7">
                  <c:v>10895000</c:v>
                </c:pt>
                <c:pt idx="8">
                  <c:v>13709000</c:v>
                </c:pt>
                <c:pt idx="9">
                  <c:v>19552000</c:v>
                </c:pt>
              </c:numCache>
            </c:numRef>
          </c:val>
          <c:extLst>
            <c:ext xmlns:c16="http://schemas.microsoft.com/office/drawing/2014/chart" uri="{C3380CC4-5D6E-409C-BE32-E72D297353CC}">
              <c16:uniqueId val="{00000000-539F-4A1A-88BC-807271468DF6}"/>
            </c:ext>
          </c:extLst>
        </c:ser>
        <c:dLbls>
          <c:dLblPos val="outEnd"/>
          <c:showLegendKey val="0"/>
          <c:showVal val="1"/>
          <c:showCatName val="0"/>
          <c:showSerName val="0"/>
          <c:showPercent val="0"/>
          <c:showBubbleSize val="0"/>
        </c:dLbls>
        <c:gapWidth val="182"/>
        <c:axId val="186172303"/>
        <c:axId val="186163663"/>
      </c:barChart>
      <c:catAx>
        <c:axId val="1861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63663"/>
        <c:crosses val="autoZero"/>
        <c:auto val="1"/>
        <c:lblAlgn val="ctr"/>
        <c:lblOffset val="100"/>
        <c:noMultiLvlLbl val="0"/>
      </c:catAx>
      <c:valAx>
        <c:axId val="186163663"/>
        <c:scaling>
          <c:orientation val="minMax"/>
        </c:scaling>
        <c:delete val="1"/>
        <c:axPos val="b"/>
        <c:numFmt formatCode="General" sourceLinked="1"/>
        <c:majorTickMark val="none"/>
        <c:minorTickMark val="none"/>
        <c:tickLblPos val="nextTo"/>
        <c:crossAx val="186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2).xlsb.xlsx]Top 10 States with the greatest!PivotTable1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State with Greatest Decline in Uninsured Rate (2010-2015)</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with the greatest'!$B$1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States with the greatest'!$A$2:$A$12</c:f>
              <c:strCache>
                <c:ptCount val="10"/>
                <c:pt idx="0">
                  <c:v>Washington</c:v>
                </c:pt>
                <c:pt idx="1">
                  <c:v>Colorado</c:v>
                </c:pt>
                <c:pt idx="2">
                  <c:v>Arkansas </c:v>
                </c:pt>
                <c:pt idx="3">
                  <c:v>Florida </c:v>
                </c:pt>
                <c:pt idx="4">
                  <c:v>West Virginia </c:v>
                </c:pt>
                <c:pt idx="5">
                  <c:v>New Mexico</c:v>
                </c:pt>
                <c:pt idx="6">
                  <c:v>Kentucky</c:v>
                </c:pt>
                <c:pt idx="7">
                  <c:v>California</c:v>
                </c:pt>
                <c:pt idx="8">
                  <c:v>Oregon</c:v>
                </c:pt>
                <c:pt idx="9">
                  <c:v>Nevada</c:v>
                </c:pt>
              </c:strCache>
            </c:strRef>
          </c:cat>
          <c:val>
            <c:numRef>
              <c:f>'Top 10 States with the greatest'!$B$2:$B$12</c:f>
              <c:numCache>
                <c:formatCode>0.00%</c:formatCode>
                <c:ptCount val="10"/>
                <c:pt idx="0">
                  <c:v>-7.5999999999999998E-2</c:v>
                </c:pt>
                <c:pt idx="1">
                  <c:v>-7.8E-2</c:v>
                </c:pt>
                <c:pt idx="2">
                  <c:v>-0.08</c:v>
                </c:pt>
                <c:pt idx="3">
                  <c:v>-0.08</c:v>
                </c:pt>
                <c:pt idx="4">
                  <c:v>-8.5999999999999993E-2</c:v>
                </c:pt>
                <c:pt idx="5">
                  <c:v>-8.6999999999999994E-2</c:v>
                </c:pt>
                <c:pt idx="6">
                  <c:v>-9.2999999999999999E-2</c:v>
                </c:pt>
                <c:pt idx="7">
                  <c:v>-9.9000000000000005E-2</c:v>
                </c:pt>
                <c:pt idx="8">
                  <c:v>-0.10100000000000001</c:v>
                </c:pt>
                <c:pt idx="9">
                  <c:v>-0.10299999999999999</c:v>
                </c:pt>
              </c:numCache>
            </c:numRef>
          </c:val>
          <c:extLst>
            <c:ext xmlns:c16="http://schemas.microsoft.com/office/drawing/2014/chart" uri="{C3380CC4-5D6E-409C-BE32-E72D297353CC}">
              <c16:uniqueId val="{00000000-F0CE-4831-BB04-4A0966A9BAB2}"/>
            </c:ext>
          </c:extLst>
        </c:ser>
        <c:dLbls>
          <c:dLblPos val="outEnd"/>
          <c:showLegendKey val="0"/>
          <c:showVal val="1"/>
          <c:showCatName val="0"/>
          <c:showSerName val="0"/>
          <c:showPercent val="0"/>
          <c:showBubbleSize val="0"/>
        </c:dLbls>
        <c:gapWidth val="219"/>
        <c:axId val="1083011919"/>
        <c:axId val="1082993679"/>
      </c:barChart>
      <c:catAx>
        <c:axId val="1083011919"/>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82993679"/>
        <c:crosses val="autoZero"/>
        <c:auto val="1"/>
        <c:lblAlgn val="ctr"/>
        <c:lblOffset val="100"/>
        <c:noMultiLvlLbl val="0"/>
      </c:catAx>
      <c:valAx>
        <c:axId val="1082993679"/>
        <c:scaling>
          <c:orientation val="minMax"/>
        </c:scaling>
        <c:delete val="1"/>
        <c:axPos val="b"/>
        <c:numFmt formatCode="0.00%" sourceLinked="1"/>
        <c:majorTickMark val="none"/>
        <c:minorTickMark val="none"/>
        <c:tickLblPos val="nextTo"/>
        <c:crossAx val="108301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2).xlsb.xlsx]employer coverage vs uninsured !PivotTable15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Employer</a:t>
            </a:r>
            <a:r>
              <a:rPr lang="en-US" b="1" baseline="0">
                <a:solidFill>
                  <a:schemeClr val="bg1"/>
                </a:solidFill>
              </a:rPr>
              <a:t> Health Insurance Coverage vs Uninsured Rate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'employer coverage vs uninsured '!$C$1</c:f>
              <c:strCache>
                <c:ptCount val="1"/>
                <c:pt idx="0">
                  <c:v>Average of Uninsured Rate (2015)</c:v>
                </c:pt>
              </c:strCache>
            </c:strRef>
          </c:tx>
          <c:spPr>
            <a:solidFill>
              <a:schemeClr val="bg1"/>
            </a:solidFill>
            <a:ln>
              <a:noFill/>
            </a:ln>
            <a:effectLst/>
          </c:spPr>
          <c:invertIfNegative val="0"/>
          <c:cat>
            <c:strRef>
              <c:f>'employer coverage vs uninsured '!$A$2:$A$12</c:f>
              <c:strCache>
                <c:ptCount val="10"/>
                <c:pt idx="0">
                  <c:v>Texas </c:v>
                </c:pt>
                <c:pt idx="1">
                  <c:v>Pennsylvania </c:v>
                </c:pt>
                <c:pt idx="2">
                  <c:v>Ohio </c:v>
                </c:pt>
                <c:pt idx="3">
                  <c:v>New York</c:v>
                </c:pt>
                <c:pt idx="4">
                  <c:v>New Jersey </c:v>
                </c:pt>
                <c:pt idx="5">
                  <c:v>Michigan </c:v>
                </c:pt>
                <c:pt idx="6">
                  <c:v>Illinois </c:v>
                </c:pt>
                <c:pt idx="7">
                  <c:v>Georgia </c:v>
                </c:pt>
                <c:pt idx="8">
                  <c:v>Florida </c:v>
                </c:pt>
                <c:pt idx="9">
                  <c:v>California</c:v>
                </c:pt>
              </c:strCache>
            </c:strRef>
          </c:cat>
          <c:val>
            <c:numRef>
              <c:f>'employer coverage vs uninsured '!$C$2:$C$12</c:f>
              <c:numCache>
                <c:formatCode>0%</c:formatCode>
                <c:ptCount val="10"/>
                <c:pt idx="0">
                  <c:v>0.17100000000000001</c:v>
                </c:pt>
                <c:pt idx="1">
                  <c:v>6.4000000000000001E-2</c:v>
                </c:pt>
                <c:pt idx="2">
                  <c:v>6.5000000000000002E-2</c:v>
                </c:pt>
                <c:pt idx="3">
                  <c:v>7.0999999999999994E-2</c:v>
                </c:pt>
                <c:pt idx="4">
                  <c:v>8.6999999999999994E-2</c:v>
                </c:pt>
                <c:pt idx="5">
                  <c:v>6.0999999999999999E-2</c:v>
                </c:pt>
                <c:pt idx="6">
                  <c:v>7.0999999999999994E-2</c:v>
                </c:pt>
                <c:pt idx="7">
                  <c:v>0.13900000000000001</c:v>
                </c:pt>
                <c:pt idx="8">
                  <c:v>0.13300000000000001</c:v>
                </c:pt>
                <c:pt idx="9">
                  <c:v>8.5999999999999993E-2</c:v>
                </c:pt>
              </c:numCache>
            </c:numRef>
          </c:val>
          <c:extLst>
            <c:ext xmlns:c16="http://schemas.microsoft.com/office/drawing/2014/chart" uri="{C3380CC4-5D6E-409C-BE32-E72D297353CC}">
              <c16:uniqueId val="{00000000-3596-45E6-9E31-405414DFEC30}"/>
            </c:ext>
          </c:extLst>
        </c:ser>
        <c:dLbls>
          <c:showLegendKey val="0"/>
          <c:showVal val="0"/>
          <c:showCatName val="0"/>
          <c:showSerName val="0"/>
          <c:showPercent val="0"/>
          <c:showBubbleSize val="0"/>
        </c:dLbls>
        <c:gapWidth val="219"/>
        <c:axId val="186172783"/>
        <c:axId val="186152143"/>
      </c:barChart>
      <c:lineChart>
        <c:grouping val="standard"/>
        <c:varyColors val="0"/>
        <c:ser>
          <c:idx val="0"/>
          <c:order val="0"/>
          <c:tx>
            <c:strRef>
              <c:f>'employer coverage vs uninsured '!$B$1</c:f>
              <c:strCache>
                <c:ptCount val="1"/>
                <c:pt idx="0">
                  <c:v>Average of Employer Health Insurance Coverage (2015)</c:v>
                </c:pt>
              </c:strCache>
            </c:strRef>
          </c:tx>
          <c:spPr>
            <a:ln w="28575" cap="rnd">
              <a:solidFill>
                <a:schemeClr val="tx1"/>
              </a:solidFill>
              <a:round/>
            </a:ln>
            <a:effectLst/>
          </c:spPr>
          <c:marker>
            <c:symbol val="none"/>
          </c:marker>
          <c:cat>
            <c:strRef>
              <c:f>'employer coverage vs uninsured '!$A$2:$A$12</c:f>
              <c:strCache>
                <c:ptCount val="10"/>
                <c:pt idx="0">
                  <c:v>Texas </c:v>
                </c:pt>
                <c:pt idx="1">
                  <c:v>Pennsylvania </c:v>
                </c:pt>
                <c:pt idx="2">
                  <c:v>Ohio </c:v>
                </c:pt>
                <c:pt idx="3">
                  <c:v>New York</c:v>
                </c:pt>
                <c:pt idx="4">
                  <c:v>New Jersey </c:v>
                </c:pt>
                <c:pt idx="5">
                  <c:v>Michigan </c:v>
                </c:pt>
                <c:pt idx="6">
                  <c:v>Illinois </c:v>
                </c:pt>
                <c:pt idx="7">
                  <c:v>Georgia </c:v>
                </c:pt>
                <c:pt idx="8">
                  <c:v>Florida </c:v>
                </c:pt>
                <c:pt idx="9">
                  <c:v>California</c:v>
                </c:pt>
              </c:strCache>
            </c:strRef>
          </c:cat>
          <c:val>
            <c:numRef>
              <c:f>'employer coverage vs uninsured '!$B$2:$B$12</c:f>
              <c:numCache>
                <c:formatCode>General</c:formatCode>
                <c:ptCount val="10"/>
                <c:pt idx="0">
                  <c:v>13709000</c:v>
                </c:pt>
                <c:pt idx="1">
                  <c:v>7502000</c:v>
                </c:pt>
                <c:pt idx="2">
                  <c:v>6831000</c:v>
                </c:pt>
                <c:pt idx="3">
                  <c:v>10895000</c:v>
                </c:pt>
                <c:pt idx="4">
                  <c:v>5450000</c:v>
                </c:pt>
                <c:pt idx="5">
                  <c:v>5876000</c:v>
                </c:pt>
                <c:pt idx="6">
                  <c:v>7359000</c:v>
                </c:pt>
                <c:pt idx="7">
                  <c:v>5240000</c:v>
                </c:pt>
                <c:pt idx="8">
                  <c:v>8847000</c:v>
                </c:pt>
                <c:pt idx="9">
                  <c:v>19552000</c:v>
                </c:pt>
              </c:numCache>
            </c:numRef>
          </c:val>
          <c:smooth val="0"/>
          <c:extLst>
            <c:ext xmlns:c16="http://schemas.microsoft.com/office/drawing/2014/chart" uri="{C3380CC4-5D6E-409C-BE32-E72D297353CC}">
              <c16:uniqueId val="{00000001-3596-45E6-9E31-405414DFEC30}"/>
            </c:ext>
          </c:extLst>
        </c:ser>
        <c:dLbls>
          <c:showLegendKey val="0"/>
          <c:showVal val="0"/>
          <c:showCatName val="0"/>
          <c:showSerName val="0"/>
          <c:showPercent val="0"/>
          <c:showBubbleSize val="0"/>
        </c:dLbls>
        <c:marker val="1"/>
        <c:smooth val="0"/>
        <c:axId val="186164143"/>
        <c:axId val="186165103"/>
      </c:lineChart>
      <c:catAx>
        <c:axId val="1861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65103"/>
        <c:crosses val="autoZero"/>
        <c:auto val="1"/>
        <c:lblAlgn val="ctr"/>
        <c:lblOffset val="100"/>
        <c:noMultiLvlLbl val="0"/>
      </c:catAx>
      <c:valAx>
        <c:axId val="18616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64143"/>
        <c:crosses val="autoZero"/>
        <c:crossBetween val="between"/>
      </c:valAx>
      <c:valAx>
        <c:axId val="1861521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72783"/>
        <c:crosses val="max"/>
        <c:crossBetween val="between"/>
      </c:valAx>
      <c:catAx>
        <c:axId val="186172783"/>
        <c:scaling>
          <c:orientation val="minMax"/>
        </c:scaling>
        <c:delete val="1"/>
        <c:axPos val="b"/>
        <c:numFmt formatCode="General" sourceLinked="1"/>
        <c:majorTickMark val="out"/>
        <c:minorTickMark val="none"/>
        <c:tickLblPos val="nextTo"/>
        <c:crossAx val="1861521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2).xlsb.xlsx]Sheet4!PivotTable9</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State Medicaid Expansion By Uninsured Rate Change (2010-2015)</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3"/>
        <c:spPr>
          <a:solidFill>
            <a:schemeClr val="bg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c:f>
              <c:strCache>
                <c:ptCount val="1"/>
                <c:pt idx="0">
                  <c:v>Total</c:v>
                </c:pt>
              </c:strCache>
            </c:strRef>
          </c:tx>
          <c:spPr>
            <a:solidFill>
              <a:schemeClr val="bg1"/>
            </a:solidFill>
            <a:ln w="25400">
              <a:solidFill>
                <a:schemeClr val="lt1"/>
              </a:solidFill>
            </a:ln>
            <a:effectLst/>
            <a:sp3d contourW="25400">
              <a:contourClr>
                <a:schemeClr val="lt1"/>
              </a:contourClr>
            </a:sp3d>
          </c:spPr>
          <c:invertIfNegative val="0"/>
          <c:cat>
            <c:strRef>
              <c:f>Sheet4!$A$2:$A$4</c:f>
              <c:strCache>
                <c:ptCount val="2"/>
                <c:pt idx="0">
                  <c:v>FALSE</c:v>
                </c:pt>
                <c:pt idx="1">
                  <c:v>TRUE</c:v>
                </c:pt>
              </c:strCache>
            </c:strRef>
          </c:cat>
          <c:val>
            <c:numRef>
              <c:f>Sheet4!$B$2:$B$4</c:f>
              <c:numCache>
                <c:formatCode>0.00%</c:formatCode>
                <c:ptCount val="2"/>
                <c:pt idx="0">
                  <c:v>-4.7210526315789481E-2</c:v>
                </c:pt>
                <c:pt idx="1">
                  <c:v>-5.856250000000001E-2</c:v>
                </c:pt>
              </c:numCache>
            </c:numRef>
          </c:val>
          <c:extLst>
            <c:ext xmlns:c16="http://schemas.microsoft.com/office/drawing/2014/chart" uri="{C3380CC4-5D6E-409C-BE32-E72D297353CC}">
              <c16:uniqueId val="{00000002-E057-49B4-8574-CC7392A8EECB}"/>
            </c:ext>
          </c:extLst>
        </c:ser>
        <c:dLbls>
          <c:showLegendKey val="0"/>
          <c:showVal val="0"/>
          <c:showCatName val="0"/>
          <c:showSerName val="0"/>
          <c:showPercent val="0"/>
          <c:showBubbleSize val="0"/>
        </c:dLbls>
        <c:gapWidth val="150"/>
        <c:shape val="box"/>
        <c:axId val="186162703"/>
        <c:axId val="186154063"/>
        <c:axId val="0"/>
      </c:bar3DChart>
      <c:catAx>
        <c:axId val="186162703"/>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54063"/>
        <c:crosses val="autoZero"/>
        <c:auto val="1"/>
        <c:lblAlgn val="ctr"/>
        <c:lblOffset val="100"/>
        <c:noMultiLvlLbl val="0"/>
      </c:catAx>
      <c:valAx>
        <c:axId val="1861540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62703"/>
        <c:crosses val="autoZero"/>
        <c:crossBetween val="between"/>
      </c:valAx>
    </c:plotArea>
    <c:plotVisOnly val="1"/>
    <c:dispBlanksAs val="gap"/>
    <c:showDLblsOverMax val="0"/>
    <c:extLst/>
  </c:chart>
  <c:spPr>
    <a:noFill/>
    <a:ln>
      <a:solidFill>
        <a:schemeClr val="lt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[Health_Insurrance (2) (version 2).xlsb.xlsx]Sheet5!PivotTable10</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Mediciad</a:t>
            </a:r>
            <a:r>
              <a:rPr lang="en-US" b="1" baseline="0">
                <a:solidFill>
                  <a:schemeClr val="bg1"/>
                </a:solidFill>
              </a:rPr>
              <a:t> Expansion vs Medicaid Enrollment Change (2013-2016)</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Sheet5!$B$1</c:f>
              <c:strCache>
                <c:ptCount val="1"/>
                <c:pt idx="0">
                  <c:v>Total</c:v>
                </c:pt>
              </c:strCache>
            </c:strRef>
          </c:tx>
          <c:spPr>
            <a:solidFill>
              <a:schemeClr val="bg1"/>
            </a:solidFill>
            <a:ln>
              <a:noFill/>
            </a:ln>
            <a:effectLst/>
            <a:sp3d/>
          </c:spPr>
          <c:invertIfNegative val="0"/>
          <c:cat>
            <c:strRef>
              <c:f>Sheet5!$A$2:$A$4</c:f>
              <c:strCache>
                <c:ptCount val="2"/>
                <c:pt idx="0">
                  <c:v>FALSE</c:v>
                </c:pt>
                <c:pt idx="1">
                  <c:v>TRUE</c:v>
                </c:pt>
              </c:strCache>
            </c:strRef>
          </c:cat>
          <c:val>
            <c:numRef>
              <c:f>Sheet5!$B$2:$B$4</c:f>
              <c:numCache>
                <c:formatCode>General</c:formatCode>
                <c:ptCount val="2"/>
                <c:pt idx="0">
                  <c:v>144447.66666666666</c:v>
                </c:pt>
                <c:pt idx="1">
                  <c:v>435680.61290322582</c:v>
                </c:pt>
              </c:numCache>
            </c:numRef>
          </c:val>
          <c:extLst>
            <c:ext xmlns:c16="http://schemas.microsoft.com/office/drawing/2014/chart" uri="{C3380CC4-5D6E-409C-BE32-E72D297353CC}">
              <c16:uniqueId val="{00000000-3E02-461B-933A-05ECBB15A8A7}"/>
            </c:ext>
          </c:extLst>
        </c:ser>
        <c:dLbls>
          <c:showLegendKey val="0"/>
          <c:showVal val="0"/>
          <c:showCatName val="0"/>
          <c:showSerName val="0"/>
          <c:showPercent val="0"/>
          <c:showBubbleSize val="0"/>
        </c:dLbls>
        <c:gapWidth val="219"/>
        <c:shape val="box"/>
        <c:axId val="186179023"/>
        <c:axId val="186179503"/>
        <c:axId val="0"/>
      </c:bar3DChart>
      <c:catAx>
        <c:axId val="1861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79503"/>
        <c:crosses val="autoZero"/>
        <c:auto val="1"/>
        <c:lblAlgn val="ctr"/>
        <c:lblOffset val="100"/>
        <c:noMultiLvlLbl val="0"/>
      </c:catAx>
      <c:valAx>
        <c:axId val="18617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1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166687</xdr:colOff>
      <xdr:row>0</xdr:row>
      <xdr:rowOff>90487</xdr:rowOff>
    </xdr:from>
    <xdr:to>
      <xdr:col>5</xdr:col>
      <xdr:colOff>528637</xdr:colOff>
      <xdr:row>14</xdr:row>
      <xdr:rowOff>166687</xdr:rowOff>
    </xdr:to>
    <xdr:graphicFrame macro="">
      <xdr:nvGraphicFramePr>
        <xdr:cNvPr id="3" name="Chart 2">
          <a:extLst>
            <a:ext uri="{FF2B5EF4-FFF2-40B4-BE49-F238E27FC236}">
              <a16:creationId xmlns:a16="http://schemas.microsoft.com/office/drawing/2014/main" id="{AFB5CDD7-49FE-4139-4A71-4DE6F1D9D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0</xdr:row>
      <xdr:rowOff>42862</xdr:rowOff>
    </xdr:from>
    <xdr:to>
      <xdr:col>10</xdr:col>
      <xdr:colOff>57150</xdr:colOff>
      <xdr:row>14</xdr:row>
      <xdr:rowOff>119062</xdr:rowOff>
    </xdr:to>
    <xdr:graphicFrame macro="">
      <xdr:nvGraphicFramePr>
        <xdr:cNvPr id="2" name="Chart 1">
          <a:extLst>
            <a:ext uri="{FF2B5EF4-FFF2-40B4-BE49-F238E27FC236}">
              <a16:creationId xmlns:a16="http://schemas.microsoft.com/office/drawing/2014/main" id="{611F007A-858C-BD95-0CFD-64B29005B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0</xdr:row>
      <xdr:rowOff>147637</xdr:rowOff>
    </xdr:from>
    <xdr:to>
      <xdr:col>9</xdr:col>
      <xdr:colOff>581025</xdr:colOff>
      <xdr:row>15</xdr:row>
      <xdr:rowOff>33337</xdr:rowOff>
    </xdr:to>
    <xdr:graphicFrame macro="">
      <xdr:nvGraphicFramePr>
        <xdr:cNvPr id="2" name="Chart 1">
          <a:extLst>
            <a:ext uri="{FF2B5EF4-FFF2-40B4-BE49-F238E27FC236}">
              <a16:creationId xmlns:a16="http://schemas.microsoft.com/office/drawing/2014/main" id="{9ED69D3B-D974-9840-E7E9-A6E18EFDA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352425</xdr:colOff>
      <xdr:row>0</xdr:row>
      <xdr:rowOff>0</xdr:rowOff>
    </xdr:from>
    <xdr:to>
      <xdr:col>10</xdr:col>
      <xdr:colOff>47625</xdr:colOff>
      <xdr:row>14</xdr:row>
      <xdr:rowOff>76200</xdr:rowOff>
    </xdr:to>
    <xdr:graphicFrame macro="">
      <xdr:nvGraphicFramePr>
        <xdr:cNvPr id="3" name="Chart 2">
          <a:extLst>
            <a:ext uri="{FF2B5EF4-FFF2-40B4-BE49-F238E27FC236}">
              <a16:creationId xmlns:a16="http://schemas.microsoft.com/office/drawing/2014/main" id="{ADDD4571-3E78-E9B6-5805-56C009416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47625</xdr:rowOff>
    </xdr:from>
    <xdr:to>
      <xdr:col>1</xdr:col>
      <xdr:colOff>2895600</xdr:colOff>
      <xdr:row>13</xdr:row>
      <xdr:rowOff>152400</xdr:rowOff>
    </xdr:to>
    <xdr:graphicFrame macro="">
      <xdr:nvGraphicFramePr>
        <xdr:cNvPr id="2" name="Chart 1">
          <a:extLst>
            <a:ext uri="{FF2B5EF4-FFF2-40B4-BE49-F238E27FC236}">
              <a16:creationId xmlns:a16="http://schemas.microsoft.com/office/drawing/2014/main" id="{AA4A69A8-487F-6ED7-66D2-41A8CFCA9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361951</xdr:colOff>
      <xdr:row>0</xdr:row>
      <xdr:rowOff>0</xdr:rowOff>
    </xdr:from>
    <xdr:to>
      <xdr:col>12</xdr:col>
      <xdr:colOff>314325</xdr:colOff>
      <xdr:row>10</xdr:row>
      <xdr:rowOff>47624</xdr:rowOff>
    </xdr:to>
    <xdr:graphicFrame macro="">
      <xdr:nvGraphicFramePr>
        <xdr:cNvPr id="2" name="Chart 1">
          <a:extLst>
            <a:ext uri="{FF2B5EF4-FFF2-40B4-BE49-F238E27FC236}">
              <a16:creationId xmlns:a16="http://schemas.microsoft.com/office/drawing/2014/main" id="{B74927AE-D0E5-D557-9545-C4887F948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447675</xdr:colOff>
      <xdr:row>26</xdr:row>
      <xdr:rowOff>119062</xdr:rowOff>
    </xdr:from>
    <xdr:to>
      <xdr:col>11</xdr:col>
      <xdr:colOff>142875</xdr:colOff>
      <xdr:row>41</xdr:row>
      <xdr:rowOff>4762</xdr:rowOff>
    </xdr:to>
    <xdr:graphicFrame macro="">
      <xdr:nvGraphicFramePr>
        <xdr:cNvPr id="3" name="Chart 2">
          <a:extLst>
            <a:ext uri="{FF2B5EF4-FFF2-40B4-BE49-F238E27FC236}">
              <a16:creationId xmlns:a16="http://schemas.microsoft.com/office/drawing/2014/main" id="{A2F375F2-145D-A586-FB23-AB3735438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0</xdr:row>
      <xdr:rowOff>138112</xdr:rowOff>
    </xdr:from>
    <xdr:to>
      <xdr:col>10</xdr:col>
      <xdr:colOff>38100</xdr:colOff>
      <xdr:row>15</xdr:row>
      <xdr:rowOff>23812</xdr:rowOff>
    </xdr:to>
    <xdr:graphicFrame macro="">
      <xdr:nvGraphicFramePr>
        <xdr:cNvPr id="3" name="Chart 2">
          <a:extLst>
            <a:ext uri="{FF2B5EF4-FFF2-40B4-BE49-F238E27FC236}">
              <a16:creationId xmlns:a16="http://schemas.microsoft.com/office/drawing/2014/main" id="{E7BF2A66-0DF5-8A2D-3591-FC0F8111F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514350</xdr:colOff>
      <xdr:row>0</xdr:row>
      <xdr:rowOff>142875</xdr:rowOff>
    </xdr:from>
    <xdr:to>
      <xdr:col>13</xdr:col>
      <xdr:colOff>247650</xdr:colOff>
      <xdr:row>3</xdr:row>
      <xdr:rowOff>133350</xdr:rowOff>
    </xdr:to>
    <xdr:sp macro="" textlink="">
      <xdr:nvSpPr>
        <xdr:cNvPr id="2" name="TextBox 1">
          <a:extLst>
            <a:ext uri="{FF2B5EF4-FFF2-40B4-BE49-F238E27FC236}">
              <a16:creationId xmlns:a16="http://schemas.microsoft.com/office/drawing/2014/main" id="{C9E53D91-CC24-532A-CFB2-3ECBDA45AAEC}"/>
            </a:ext>
          </a:extLst>
        </xdr:cNvPr>
        <xdr:cNvSpPr txBox="1"/>
      </xdr:nvSpPr>
      <xdr:spPr>
        <a:xfrm>
          <a:off x="1123950" y="142875"/>
          <a:ext cx="7048500" cy="56197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Health Insurance Analysis</a:t>
          </a:r>
          <a:r>
            <a:rPr lang="en-US" sz="2800" baseline="0">
              <a:solidFill>
                <a:schemeClr val="bg1"/>
              </a:solidFill>
            </a:rPr>
            <a:t> Dashboard </a:t>
          </a:r>
          <a:r>
            <a:rPr lang="en-US" sz="1400" baseline="0">
              <a:solidFill>
                <a:schemeClr val="bg1"/>
              </a:solidFill>
            </a:rPr>
            <a:t>by Rafiat Kolawole</a:t>
          </a:r>
          <a:endParaRPr lang="en-US" sz="1400">
            <a:solidFill>
              <a:schemeClr val="bg1"/>
            </a:solidFill>
          </a:endParaRPr>
        </a:p>
      </xdr:txBody>
    </xdr:sp>
    <xdr:clientData/>
  </xdr:twoCellAnchor>
  <xdr:twoCellAnchor>
    <xdr:from>
      <xdr:col>8</xdr:col>
      <xdr:colOff>371475</xdr:colOff>
      <xdr:row>5</xdr:row>
      <xdr:rowOff>9525</xdr:rowOff>
    </xdr:from>
    <xdr:to>
      <xdr:col>12</xdr:col>
      <xdr:colOff>352425</xdr:colOff>
      <xdr:row>11</xdr:row>
      <xdr:rowOff>28574</xdr:rowOff>
    </xdr:to>
    <xdr:sp macro="" textlink="#REF!">
      <xdr:nvSpPr>
        <xdr:cNvPr id="8" name="Rectangle: Rounded Corners 7">
          <a:extLst>
            <a:ext uri="{FF2B5EF4-FFF2-40B4-BE49-F238E27FC236}">
              <a16:creationId xmlns:a16="http://schemas.microsoft.com/office/drawing/2014/main" id="{39CE0984-E6B6-F233-496C-09AD8BD5A09A}"/>
            </a:ext>
          </a:extLst>
        </xdr:cNvPr>
        <xdr:cNvSpPr/>
      </xdr:nvSpPr>
      <xdr:spPr>
        <a:xfrm>
          <a:off x="5248275" y="962025"/>
          <a:ext cx="2419350" cy="116204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baseline="0">
              <a:solidFill>
                <a:schemeClr val="bg1"/>
              </a:solidFill>
              <a:latin typeface="Aptos Narrow"/>
            </a:rPr>
            <a:t>Average of Average Monthly Tax Credit (2016)</a:t>
          </a:r>
        </a:p>
        <a:p>
          <a:pPr algn="ctr"/>
          <a:endParaRPr lang="en-US" sz="1100" b="1" i="0" u="none" strike="noStrike" baseline="0">
            <a:solidFill>
              <a:schemeClr val="bg1"/>
            </a:solidFill>
            <a:latin typeface="Aptos Narrow"/>
          </a:endParaRPr>
        </a:p>
        <a:p>
          <a:pPr algn="ctr"/>
          <a:endParaRPr lang="en-US" sz="2000" b="1" baseline="0">
            <a:solidFill>
              <a:schemeClr val="bg1"/>
            </a:solidFill>
          </a:endParaRPr>
        </a:p>
      </xdr:txBody>
    </xdr:sp>
    <xdr:clientData/>
  </xdr:twoCellAnchor>
  <xdr:twoCellAnchor>
    <xdr:from>
      <xdr:col>4</xdr:col>
      <xdr:colOff>276225</xdr:colOff>
      <xdr:row>4</xdr:row>
      <xdr:rowOff>180975</xdr:rowOff>
    </xdr:from>
    <xdr:to>
      <xdr:col>8</xdr:col>
      <xdr:colOff>266700</xdr:colOff>
      <xdr:row>11</xdr:row>
      <xdr:rowOff>9524</xdr:rowOff>
    </xdr:to>
    <xdr:sp macro="" textlink="#REF!">
      <xdr:nvSpPr>
        <xdr:cNvPr id="9" name="Rectangle: Rounded Corners 8">
          <a:extLst>
            <a:ext uri="{FF2B5EF4-FFF2-40B4-BE49-F238E27FC236}">
              <a16:creationId xmlns:a16="http://schemas.microsoft.com/office/drawing/2014/main" id="{A7E331DC-6A3B-46D0-89F9-478DCC8F57B1}"/>
            </a:ext>
          </a:extLst>
        </xdr:cNvPr>
        <xdr:cNvSpPr/>
      </xdr:nvSpPr>
      <xdr:spPr>
        <a:xfrm>
          <a:off x="2714625" y="942975"/>
          <a:ext cx="2428875" cy="116204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chemeClr val="bg1"/>
              </a:solidFill>
              <a:latin typeface="Aptos Narrow"/>
            </a:rPr>
            <a:t>Average Uninsured Rate Change</a:t>
          </a:r>
          <a:r>
            <a:rPr lang="en-US" sz="1100" b="1" i="0" u="none" strike="noStrike" baseline="0">
              <a:solidFill>
                <a:schemeClr val="bg1"/>
              </a:solidFill>
              <a:latin typeface="Aptos Narrow"/>
            </a:rPr>
            <a:t> (2010-2015)</a:t>
          </a:r>
          <a:endParaRPr lang="en-US" sz="1100" b="1" i="0" u="none" strike="noStrike">
            <a:solidFill>
              <a:schemeClr val="bg1"/>
            </a:solidFill>
            <a:latin typeface="Aptos Narrow"/>
          </a:endParaRPr>
        </a:p>
        <a:p>
          <a:pPr algn="ctr"/>
          <a:endParaRPr lang="en-US" sz="1100" b="1" i="0" u="none" strike="noStrike">
            <a:solidFill>
              <a:schemeClr val="bg1"/>
            </a:solidFill>
            <a:latin typeface="Aptos Narrow"/>
          </a:endParaRPr>
        </a:p>
        <a:p>
          <a:pPr algn="ctr"/>
          <a:endParaRPr lang="en-US" sz="2000" b="1">
            <a:solidFill>
              <a:schemeClr val="bg1"/>
            </a:solidFill>
          </a:endParaRPr>
        </a:p>
      </xdr:txBody>
    </xdr:sp>
    <xdr:clientData/>
  </xdr:twoCellAnchor>
  <xdr:twoCellAnchor>
    <xdr:from>
      <xdr:col>16</xdr:col>
      <xdr:colOff>523875</xdr:colOff>
      <xdr:row>4</xdr:row>
      <xdr:rowOff>161925</xdr:rowOff>
    </xdr:from>
    <xdr:to>
      <xdr:col>20</xdr:col>
      <xdr:colOff>495300</xdr:colOff>
      <xdr:row>10</xdr:row>
      <xdr:rowOff>180974</xdr:rowOff>
    </xdr:to>
    <xdr:sp macro="" textlink="#REF!">
      <xdr:nvSpPr>
        <xdr:cNvPr id="11" name="Rectangle: Rounded Corners 10">
          <a:extLst>
            <a:ext uri="{FF2B5EF4-FFF2-40B4-BE49-F238E27FC236}">
              <a16:creationId xmlns:a16="http://schemas.microsoft.com/office/drawing/2014/main" id="{50A451F8-5049-4EF9-A82F-878235375641}"/>
            </a:ext>
          </a:extLst>
        </xdr:cNvPr>
        <xdr:cNvSpPr/>
      </xdr:nvSpPr>
      <xdr:spPr>
        <a:xfrm>
          <a:off x="10277475" y="923925"/>
          <a:ext cx="2409825" cy="116204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chemeClr val="bg1"/>
              </a:solidFill>
              <a:latin typeface="Aptos Narrow"/>
            </a:rPr>
            <a:t>Medicaid Enrollment Growth Rate(%)</a:t>
          </a:r>
        </a:p>
        <a:p>
          <a:pPr algn="ctr"/>
          <a:endParaRPr lang="en-US" sz="1100" b="1" i="0" u="none" strike="noStrike">
            <a:solidFill>
              <a:schemeClr val="bg1"/>
            </a:solidFill>
            <a:latin typeface="Aptos Narrow"/>
          </a:endParaRPr>
        </a:p>
        <a:p>
          <a:pPr algn="ctr"/>
          <a:r>
            <a:rPr lang="en-US" sz="1100" b="1" i="0" u="none" strike="noStrike">
              <a:solidFill>
                <a:schemeClr val="bg1"/>
              </a:solidFill>
              <a:latin typeface="Aptos Narrow"/>
            </a:rPr>
            <a:t> </a:t>
          </a:r>
          <a:endParaRPr lang="en-US" sz="2000" b="1" baseline="0">
            <a:solidFill>
              <a:schemeClr val="bg1"/>
            </a:solidFill>
          </a:endParaRPr>
        </a:p>
      </xdr:txBody>
    </xdr:sp>
    <xdr:clientData/>
  </xdr:twoCellAnchor>
  <xdr:twoCellAnchor>
    <xdr:from>
      <xdr:col>0</xdr:col>
      <xdr:colOff>190500</xdr:colOff>
      <xdr:row>4</xdr:row>
      <xdr:rowOff>171450</xdr:rowOff>
    </xdr:from>
    <xdr:to>
      <xdr:col>4</xdr:col>
      <xdr:colOff>171450</xdr:colOff>
      <xdr:row>10</xdr:row>
      <xdr:rowOff>190499</xdr:rowOff>
    </xdr:to>
    <xdr:sp macro="" textlink="#REF!">
      <xdr:nvSpPr>
        <xdr:cNvPr id="12" name="Rectangle: Rounded Corners 11">
          <a:extLst>
            <a:ext uri="{FF2B5EF4-FFF2-40B4-BE49-F238E27FC236}">
              <a16:creationId xmlns:a16="http://schemas.microsoft.com/office/drawing/2014/main" id="{77DB3D2B-DC94-440C-AEBF-141138AF92D5}"/>
            </a:ext>
          </a:extLst>
        </xdr:cNvPr>
        <xdr:cNvSpPr/>
      </xdr:nvSpPr>
      <xdr:spPr>
        <a:xfrm>
          <a:off x="190500" y="933450"/>
          <a:ext cx="2419350" cy="116204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baseline="0">
              <a:solidFill>
                <a:schemeClr val="bg1"/>
              </a:solidFill>
              <a:latin typeface="Aptos Narrow"/>
            </a:rPr>
            <a:t>Average of Uninsured Rate (2015)</a:t>
          </a:r>
        </a:p>
        <a:p>
          <a:pPr algn="ctr"/>
          <a:endParaRPr lang="en-US" sz="1100" b="1" i="0" u="none" strike="noStrike" baseline="0">
            <a:solidFill>
              <a:schemeClr val="bg1"/>
            </a:solidFill>
            <a:latin typeface="Aptos Narrow"/>
          </a:endParaRPr>
        </a:p>
        <a:p>
          <a:pPr algn="ctr"/>
          <a:endParaRPr lang="en-US" sz="1100" b="1" i="0" u="none" strike="noStrike" baseline="0">
            <a:solidFill>
              <a:schemeClr val="bg1"/>
            </a:solidFill>
            <a:latin typeface="Aptos Narrow"/>
          </a:endParaRPr>
        </a:p>
        <a:p>
          <a:pPr algn="ctr"/>
          <a:endParaRPr lang="en-US" sz="2000" b="1" baseline="0">
            <a:solidFill>
              <a:schemeClr val="bg1"/>
            </a:solidFill>
          </a:endParaRPr>
        </a:p>
      </xdr:txBody>
    </xdr:sp>
    <xdr:clientData/>
  </xdr:twoCellAnchor>
  <xdr:twoCellAnchor>
    <xdr:from>
      <xdr:col>0</xdr:col>
      <xdr:colOff>76200</xdr:colOff>
      <xdr:row>12</xdr:row>
      <xdr:rowOff>19050</xdr:rowOff>
    </xdr:from>
    <xdr:to>
      <xdr:col>7</xdr:col>
      <xdr:colOff>38100</xdr:colOff>
      <xdr:row>25</xdr:row>
      <xdr:rowOff>104775</xdr:rowOff>
    </xdr:to>
    <xdr:graphicFrame macro="">
      <xdr:nvGraphicFramePr>
        <xdr:cNvPr id="13" name="Chart 12">
          <a:extLst>
            <a:ext uri="{FF2B5EF4-FFF2-40B4-BE49-F238E27FC236}">
              <a16:creationId xmlns:a16="http://schemas.microsoft.com/office/drawing/2014/main" id="{5822FDA6-5242-42CA-B40D-F292F2A18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12</xdr:row>
      <xdr:rowOff>19050</xdr:rowOff>
    </xdr:from>
    <xdr:to>
      <xdr:col>14</xdr:col>
      <xdr:colOff>19050</xdr:colOff>
      <xdr:row>25</xdr:row>
      <xdr:rowOff>104776</xdr:rowOff>
    </xdr:to>
    <xdr:graphicFrame macro="">
      <xdr:nvGraphicFramePr>
        <xdr:cNvPr id="14" name="Chart 13">
          <a:extLst>
            <a:ext uri="{FF2B5EF4-FFF2-40B4-BE49-F238E27FC236}">
              <a16:creationId xmlns:a16="http://schemas.microsoft.com/office/drawing/2014/main" id="{C0344B5F-EC4B-45B0-A3CC-1ED831C3E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19049</xdr:colOff>
      <xdr:row>12</xdr:row>
      <xdr:rowOff>19050</xdr:rowOff>
    </xdr:from>
    <xdr:to>
      <xdr:col>20</xdr:col>
      <xdr:colOff>514350</xdr:colOff>
      <xdr:row>25</xdr:row>
      <xdr:rowOff>104775</xdr:rowOff>
    </xdr:to>
    <xdr:graphicFrame macro="">
      <xdr:nvGraphicFramePr>
        <xdr:cNvPr id="15" name="Chart 14">
          <a:extLst>
            <a:ext uri="{FF2B5EF4-FFF2-40B4-BE49-F238E27FC236}">
              <a16:creationId xmlns:a16="http://schemas.microsoft.com/office/drawing/2014/main" id="{76D06A58-B057-40BD-925F-8D9661621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25</xdr:row>
      <xdr:rowOff>114300</xdr:rowOff>
    </xdr:from>
    <xdr:to>
      <xdr:col>7</xdr:col>
      <xdr:colOff>38100</xdr:colOff>
      <xdr:row>39</xdr:row>
      <xdr:rowOff>28575</xdr:rowOff>
    </xdr:to>
    <xdr:graphicFrame macro="">
      <xdr:nvGraphicFramePr>
        <xdr:cNvPr id="16" name="Chart 15">
          <a:extLst>
            <a:ext uri="{FF2B5EF4-FFF2-40B4-BE49-F238E27FC236}">
              <a16:creationId xmlns:a16="http://schemas.microsoft.com/office/drawing/2014/main" id="{4D42C400-6CF6-48E8-B045-DF5ED00F1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28575</xdr:colOff>
      <xdr:row>25</xdr:row>
      <xdr:rowOff>114301</xdr:rowOff>
    </xdr:from>
    <xdr:to>
      <xdr:col>20</xdr:col>
      <xdr:colOff>514350</xdr:colOff>
      <xdr:row>39</xdr:row>
      <xdr:rowOff>28575</xdr:rowOff>
    </xdr:to>
    <xdr:graphicFrame macro="">
      <xdr:nvGraphicFramePr>
        <xdr:cNvPr id="20" name="Chart 19">
          <a:extLst>
            <a:ext uri="{FF2B5EF4-FFF2-40B4-BE49-F238E27FC236}">
              <a16:creationId xmlns:a16="http://schemas.microsoft.com/office/drawing/2014/main" id="{64F980AB-90A4-4D28-BD0A-02CC8D815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295275</xdr:colOff>
      <xdr:row>0</xdr:row>
      <xdr:rowOff>19050</xdr:rowOff>
    </xdr:from>
    <xdr:to>
      <xdr:col>20</xdr:col>
      <xdr:colOff>295275</xdr:colOff>
      <xdr:row>4</xdr:row>
      <xdr:rowOff>38100</xdr:rowOff>
    </xdr:to>
    <mc:AlternateContent xmlns:mc="http://schemas.openxmlformats.org/markup-compatibility/2006" xmlns:a14="http://schemas.microsoft.com/office/drawing/2010/main">
      <mc:Choice Requires="a14">
        <xdr:graphicFrame macro="">
          <xdr:nvGraphicFramePr>
            <xdr:cNvPr id="4" name="State Medicaid Expansion (2016)">
              <a:extLst>
                <a:ext uri="{FF2B5EF4-FFF2-40B4-BE49-F238E27FC236}">
                  <a16:creationId xmlns:a16="http://schemas.microsoft.com/office/drawing/2014/main" id="{84FA3AEB-3D1B-AE1F-0ED8-A84A20F51148}"/>
                </a:ext>
              </a:extLst>
            </xdr:cNvPr>
            <xdr:cNvGraphicFramePr/>
          </xdr:nvGraphicFramePr>
          <xdr:xfrm>
            <a:off x="0" y="0"/>
            <a:ext cx="0" cy="0"/>
          </xdr:xfrm>
          <a:graphic>
            <a:graphicData uri="http://schemas.microsoft.com/office/drawing/2010/slicer">
              <sle:slicer xmlns:sle="http://schemas.microsoft.com/office/drawing/2010/slicer" name="State Medicaid Expansion (2016)"/>
            </a:graphicData>
          </a:graphic>
        </xdr:graphicFrame>
      </mc:Choice>
      <mc:Fallback xmlns="">
        <xdr:sp macro="" textlink="">
          <xdr:nvSpPr>
            <xdr:cNvPr id="0" name=""/>
            <xdr:cNvSpPr>
              <a:spLocks noTextEdit="1"/>
            </xdr:cNvSpPr>
          </xdr:nvSpPr>
          <xdr:spPr>
            <a:xfrm>
              <a:off x="10658475" y="19050"/>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219075</xdr:colOff>
      <xdr:row>0</xdr:row>
      <xdr:rowOff>9525</xdr:rowOff>
    </xdr:from>
    <xdr:to>
      <xdr:col>17</xdr:col>
      <xdr:colOff>219075</xdr:colOff>
      <xdr:row>4</xdr:row>
      <xdr:rowOff>9524</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96BD1FD6-4F4D-B0C1-3519-89162D22E0A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753475" y="9526"/>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38101</xdr:colOff>
      <xdr:row>25</xdr:row>
      <xdr:rowOff>114299</xdr:rowOff>
    </xdr:from>
    <xdr:to>
      <xdr:col>14</xdr:col>
      <xdr:colOff>19050</xdr:colOff>
      <xdr:row>39</xdr:row>
      <xdr:rowOff>28575</xdr:rowOff>
    </xdr:to>
    <xdr:graphicFrame macro="">
      <xdr:nvGraphicFramePr>
        <xdr:cNvPr id="7" name="Chart 6">
          <a:extLst>
            <a:ext uri="{FF2B5EF4-FFF2-40B4-BE49-F238E27FC236}">
              <a16:creationId xmlns:a16="http://schemas.microsoft.com/office/drawing/2014/main" id="{67BF8A4C-9C54-44F5-9A4D-5BE91FD95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457200</xdr:colOff>
      <xdr:row>4</xdr:row>
      <xdr:rowOff>171450</xdr:rowOff>
    </xdr:from>
    <xdr:to>
      <xdr:col>16</xdr:col>
      <xdr:colOff>438150</xdr:colOff>
      <xdr:row>10</xdr:row>
      <xdr:rowOff>190499</xdr:rowOff>
    </xdr:to>
    <xdr:sp macro="" textlink="#REF!">
      <xdr:nvSpPr>
        <xdr:cNvPr id="17" name="Rectangle: Rounded Corners 16">
          <a:extLst>
            <a:ext uri="{FF2B5EF4-FFF2-40B4-BE49-F238E27FC236}">
              <a16:creationId xmlns:a16="http://schemas.microsoft.com/office/drawing/2014/main" id="{A9C2D0E6-4710-4AB9-8251-EF1BB5A3D428}"/>
            </a:ext>
          </a:extLst>
        </xdr:cNvPr>
        <xdr:cNvSpPr/>
      </xdr:nvSpPr>
      <xdr:spPr>
        <a:xfrm>
          <a:off x="7772400" y="933450"/>
          <a:ext cx="2419350" cy="116204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baseline="0">
              <a:solidFill>
                <a:srgbClr val="000000"/>
              </a:solidFill>
              <a:latin typeface="Aptos Narrow"/>
            </a:rPr>
            <a:t> </a:t>
          </a:r>
          <a:r>
            <a:rPr lang="en-US" sz="1100" b="1" i="0" u="none" strike="noStrike" baseline="0">
              <a:solidFill>
                <a:schemeClr val="bg1"/>
              </a:solidFill>
              <a:latin typeface="Aptos Narrow"/>
            </a:rPr>
            <a:t>Max of Average Monthly Tax Credit (2016)</a:t>
          </a:r>
        </a:p>
        <a:p>
          <a:pPr algn="ctr"/>
          <a:endParaRPr lang="en-US" sz="1100" b="0" i="0" u="none" strike="noStrike">
            <a:solidFill>
              <a:srgbClr val="000000"/>
            </a:solidFill>
            <a:latin typeface="Aptos Narrow"/>
          </a:endParaRPr>
        </a:p>
        <a:p>
          <a:pPr algn="ctr"/>
          <a:endParaRPr lang="en-US" sz="2000" b="1" baseline="0">
            <a:solidFill>
              <a:schemeClr val="bg1"/>
            </a:solidFill>
          </a:endParaRPr>
        </a:p>
      </xdr:txBody>
    </xdr:sp>
    <xdr:clientData/>
  </xdr:twoCellAnchor>
  <xdr:twoCellAnchor>
    <xdr:from>
      <xdr:col>17</xdr:col>
      <xdr:colOff>209550</xdr:colOff>
      <xdr:row>7</xdr:row>
      <xdr:rowOff>66675</xdr:rowOff>
    </xdr:from>
    <xdr:to>
      <xdr:col>20</xdr:col>
      <xdr:colOff>19050</xdr:colOff>
      <xdr:row>10</xdr:row>
      <xdr:rowOff>104775</xdr:rowOff>
    </xdr:to>
    <xdr:sp macro="" textlink="kpis!B17">
      <xdr:nvSpPr>
        <xdr:cNvPr id="30" name="TextBox 29">
          <a:extLst>
            <a:ext uri="{FF2B5EF4-FFF2-40B4-BE49-F238E27FC236}">
              <a16:creationId xmlns:a16="http://schemas.microsoft.com/office/drawing/2014/main" id="{3D03E87A-070B-6B5C-390F-3C41927AD545}"/>
            </a:ext>
          </a:extLst>
        </xdr:cNvPr>
        <xdr:cNvSpPr txBox="1"/>
      </xdr:nvSpPr>
      <xdr:spPr>
        <a:xfrm>
          <a:off x="10572750" y="1400175"/>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5731D3-C05E-4BBB-A976-792913464CC6}" type="TxLink">
            <a:rPr lang="en-US" sz="2400" b="1" i="0" u="none" strike="noStrike">
              <a:solidFill>
                <a:schemeClr val="bg1"/>
              </a:solidFill>
              <a:latin typeface="Aptos Narrow"/>
            </a:rPr>
            <a:pPr algn="ctr"/>
            <a:t>28.56%</a:t>
          </a:fld>
          <a:endParaRPr lang="en-US" sz="2400" b="1">
            <a:solidFill>
              <a:schemeClr val="bg1"/>
            </a:solidFill>
          </a:endParaRPr>
        </a:p>
      </xdr:txBody>
    </xdr:sp>
    <xdr:clientData/>
  </xdr:twoCellAnchor>
  <xdr:twoCellAnchor>
    <xdr:from>
      <xdr:col>13</xdr:col>
      <xdr:colOff>180975</xdr:colOff>
      <xdr:row>7</xdr:row>
      <xdr:rowOff>123825</xdr:rowOff>
    </xdr:from>
    <xdr:to>
      <xdr:col>15</xdr:col>
      <xdr:colOff>600075</xdr:colOff>
      <xdr:row>10</xdr:row>
      <xdr:rowOff>161925</xdr:rowOff>
    </xdr:to>
    <xdr:sp macro="" textlink="kpis!C10">
      <xdr:nvSpPr>
        <xdr:cNvPr id="31" name="TextBox 30">
          <a:extLst>
            <a:ext uri="{FF2B5EF4-FFF2-40B4-BE49-F238E27FC236}">
              <a16:creationId xmlns:a16="http://schemas.microsoft.com/office/drawing/2014/main" id="{11F37AC7-0105-7475-73C7-D5E6A0CEE40F}"/>
            </a:ext>
          </a:extLst>
        </xdr:cNvPr>
        <xdr:cNvSpPr txBox="1"/>
      </xdr:nvSpPr>
      <xdr:spPr>
        <a:xfrm>
          <a:off x="8105775" y="1457325"/>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18A709-02A2-40D6-9BBF-47015F793C9F}" type="TxLink">
            <a:rPr lang="en-US" sz="2400" b="1" i="0" u="none" strike="noStrike">
              <a:solidFill>
                <a:schemeClr val="bg1"/>
              </a:solidFill>
              <a:latin typeface="Aptos Narrow"/>
            </a:rPr>
            <a:pPr algn="ctr"/>
            <a:t> $750.00 </a:t>
          </a:fld>
          <a:endParaRPr lang="en-US" sz="2400" b="1">
            <a:solidFill>
              <a:schemeClr val="bg1"/>
            </a:solidFill>
          </a:endParaRPr>
        </a:p>
      </xdr:txBody>
    </xdr:sp>
    <xdr:clientData/>
  </xdr:twoCellAnchor>
  <xdr:twoCellAnchor>
    <xdr:from>
      <xdr:col>9</xdr:col>
      <xdr:colOff>152400</xdr:colOff>
      <xdr:row>7</xdr:row>
      <xdr:rowOff>114300</xdr:rowOff>
    </xdr:from>
    <xdr:to>
      <xdr:col>11</xdr:col>
      <xdr:colOff>571500</xdr:colOff>
      <xdr:row>10</xdr:row>
      <xdr:rowOff>152400</xdr:rowOff>
    </xdr:to>
    <xdr:sp macro="" textlink="kpis!C4">
      <xdr:nvSpPr>
        <xdr:cNvPr id="32" name="TextBox 31">
          <a:extLst>
            <a:ext uri="{FF2B5EF4-FFF2-40B4-BE49-F238E27FC236}">
              <a16:creationId xmlns:a16="http://schemas.microsoft.com/office/drawing/2014/main" id="{1871E571-3C16-288B-4614-206D18EC33FD}"/>
            </a:ext>
          </a:extLst>
        </xdr:cNvPr>
        <xdr:cNvSpPr txBox="1"/>
      </xdr:nvSpPr>
      <xdr:spPr>
        <a:xfrm>
          <a:off x="5638800" y="144780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2F3C54-0624-417B-9FBD-011A3491E45D}" type="TxLink">
            <a:rPr lang="en-US" sz="2400" b="1" i="0" u="none" strike="noStrike">
              <a:solidFill>
                <a:schemeClr val="bg1"/>
              </a:solidFill>
              <a:latin typeface="Aptos Narrow"/>
            </a:rPr>
            <a:pPr algn="ctr"/>
            <a:t> $292.16 </a:t>
          </a:fld>
          <a:endParaRPr lang="en-US" sz="2400" b="1">
            <a:solidFill>
              <a:schemeClr val="bg1"/>
            </a:solidFill>
          </a:endParaRPr>
        </a:p>
      </xdr:txBody>
    </xdr:sp>
    <xdr:clientData/>
  </xdr:twoCellAnchor>
  <xdr:twoCellAnchor>
    <xdr:from>
      <xdr:col>5</xdr:col>
      <xdr:colOff>76200</xdr:colOff>
      <xdr:row>7</xdr:row>
      <xdr:rowOff>85725</xdr:rowOff>
    </xdr:from>
    <xdr:to>
      <xdr:col>7</xdr:col>
      <xdr:colOff>495300</xdr:colOff>
      <xdr:row>10</xdr:row>
      <xdr:rowOff>123825</xdr:rowOff>
    </xdr:to>
    <xdr:sp macro="" textlink="kpis!A11">
      <xdr:nvSpPr>
        <xdr:cNvPr id="33" name="TextBox 32">
          <a:extLst>
            <a:ext uri="{FF2B5EF4-FFF2-40B4-BE49-F238E27FC236}">
              <a16:creationId xmlns:a16="http://schemas.microsoft.com/office/drawing/2014/main" id="{42E7E6FD-F489-C48E-7E49-7391E11CADED}"/>
            </a:ext>
          </a:extLst>
        </xdr:cNvPr>
        <xdr:cNvSpPr txBox="1"/>
      </xdr:nvSpPr>
      <xdr:spPr>
        <a:xfrm>
          <a:off x="3124200" y="1419225"/>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A318C5-734A-4118-A771-4D6C1502A026}" type="TxLink">
            <a:rPr lang="en-US" sz="2400" b="1" i="0" u="none" strike="noStrike">
              <a:solidFill>
                <a:schemeClr val="bg1"/>
              </a:solidFill>
              <a:latin typeface="Aptos Narrow"/>
            </a:rPr>
            <a:pPr algn="ctr"/>
            <a:t>-5.43%</a:t>
          </a:fld>
          <a:endParaRPr lang="en-US" sz="2400" b="1">
            <a:solidFill>
              <a:schemeClr val="bg1"/>
            </a:solidFill>
          </a:endParaRPr>
        </a:p>
      </xdr:txBody>
    </xdr:sp>
    <xdr:clientData/>
  </xdr:twoCellAnchor>
  <xdr:twoCellAnchor>
    <xdr:from>
      <xdr:col>1</xdr:col>
      <xdr:colOff>0</xdr:colOff>
      <xdr:row>7</xdr:row>
      <xdr:rowOff>57150</xdr:rowOff>
    </xdr:from>
    <xdr:to>
      <xdr:col>3</xdr:col>
      <xdr:colOff>419100</xdr:colOff>
      <xdr:row>10</xdr:row>
      <xdr:rowOff>95250</xdr:rowOff>
    </xdr:to>
    <xdr:sp macro="" textlink="kpis!A4">
      <xdr:nvSpPr>
        <xdr:cNvPr id="34" name="TextBox 33">
          <a:extLst>
            <a:ext uri="{FF2B5EF4-FFF2-40B4-BE49-F238E27FC236}">
              <a16:creationId xmlns:a16="http://schemas.microsoft.com/office/drawing/2014/main" id="{7015EB23-F341-6691-1F34-2DBF970D8327}"/>
            </a:ext>
          </a:extLst>
        </xdr:cNvPr>
        <xdr:cNvSpPr txBox="1"/>
      </xdr:nvSpPr>
      <xdr:spPr>
        <a:xfrm>
          <a:off x="609600" y="139065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3A9C1F-2DCF-4435-8EF8-4FC8833EDD11}" type="TxLink">
            <a:rPr lang="en-US" sz="2400" b="1" i="0" u="none" strike="noStrike">
              <a:solidFill>
                <a:schemeClr val="bg1"/>
              </a:solidFill>
              <a:latin typeface="Aptos Narrow"/>
            </a:rPr>
            <a:pPr algn="ctr"/>
            <a:t>8.72%</a:t>
          </a:fld>
          <a:endParaRPr lang="en-US" sz="2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01.07383645833" createdVersion="8" refreshedVersion="8" minRefreshableVersion="3" recordCount="51" xr:uid="{4C296D09-0EC4-4755-8B2A-E299275B598C}">
  <cacheSource type="worksheet">
    <worksheetSource name="Health_insurance"/>
  </cacheSource>
  <cacheFields count="14">
    <cacheField name="State" numFmtId="0">
      <sharedItems count="52">
        <s v="Alabama "/>
        <s v="Alaska "/>
        <s v="Arizona "/>
        <s v="Arkansas "/>
        <s v="California"/>
        <s v="Colorado"/>
        <s v="Connecticut"/>
        <s v="Delaware "/>
        <s v="District of Columbia"/>
        <s v="Florida "/>
        <s v="Georgia "/>
        <s v="Hawaii"/>
        <s v="Idaho"/>
        <s v="Illinois "/>
        <s v="Indiana "/>
        <s v="Iowa "/>
        <s v="Kansas "/>
        <s v="Kentucky"/>
        <s v="Louisiana "/>
        <s v="Maine "/>
        <s v="Maryland"/>
        <s v="Massachusetts"/>
        <s v="Michigan "/>
        <s v="Minnesota"/>
        <s v="Mississippi "/>
        <s v="Missouri "/>
        <s v="Montana "/>
        <s v="Nebraska "/>
        <s v="Nevada"/>
        <s v="New Hampshire "/>
        <s v="New Jersey "/>
        <s v="New Mexico"/>
        <s v="New York"/>
        <s v="North Carolina "/>
        <s v="North Dakota "/>
        <s v="Ohio "/>
        <s v="Oklahoma "/>
        <s v="Oregon"/>
        <s v="Pennsylvania "/>
        <s v="Rhode Island"/>
        <s v="South Carolina "/>
        <s v="South Dakota "/>
        <s v="Tennessee "/>
        <s v="Texas "/>
        <s v="Utah "/>
        <s v="Vermont"/>
        <s v="Virginia "/>
        <s v="Washington"/>
        <s v="West Virginia "/>
        <s v="Wisconsin "/>
        <s v="Wyoming"/>
        <s v="United States" u="1"/>
      </sharedItems>
    </cacheField>
    <cacheField name="Uninsured Rate (2010)" numFmtId="0">
      <sharedItems containsSemiMixedTypes="0" containsString="0" containsNumber="1" minValue="4.3999999999999997E-2" maxValue="0.23699999999999999"/>
    </cacheField>
    <cacheField name="Uninsured Rate (2015)" numFmtId="0">
      <sharedItems containsSemiMixedTypes="0" containsString="0" containsNumber="1" minValue="2.8000000000000001E-2" maxValue="0.17100000000000001"/>
    </cacheField>
    <cacheField name="Uninsured Rate Change (2010-2015)" numFmtId="0">
      <sharedItems containsSemiMixedTypes="0" containsString="0" containsNumber="1" minValue="-0.10299999999999999" maxValue="-1.6E-2"/>
    </cacheField>
    <cacheField name="Health Insurance Coverage Change (2010-2015)" numFmtId="0">
      <sharedItems containsSemiMixedTypes="0" containsString="0" containsNumber="1" containsInteger="1" minValue="15000" maxValue="3826000"/>
    </cacheField>
    <cacheField name="Employer Health Insurance Coverage (2015)" numFmtId="0">
      <sharedItems containsSemiMixedTypes="0" containsString="0" containsNumber="1" containsInteger="1" minValue="335000" maxValue="19552000"/>
    </cacheField>
    <cacheField name="Marketplace Health Insurance Coverage (2016)" numFmtId="0">
      <sharedItems containsSemiMixedTypes="0" containsString="0" containsNumber="1" containsInteger="1" minValue="13313" maxValue="1531714"/>
    </cacheField>
    <cacheField name="Marketplace Tax Credits (2016)" numFmtId="0">
      <sharedItems containsSemiMixedTypes="0" containsString="0" containsNumber="1" containsInteger="1" minValue="1224" maxValue="1428712"/>
    </cacheField>
    <cacheField name="Average Monthly Tax Credit (2016)" numFmtId="6">
      <sharedItems containsSemiMixedTypes="0" containsString="0" containsNumber="1" containsInteger="1" minValue="178" maxValue="750"/>
    </cacheField>
    <cacheField name="State Medicaid Expansion (2016)" numFmtId="0">
      <sharedItems containsBlank="1" count="3">
        <b v="0"/>
        <b v="1"/>
        <m u="1"/>
      </sharedItems>
    </cacheField>
    <cacheField name="Medicaid Enrollment (2013)" numFmtId="0">
      <sharedItems containsString="0" containsBlank="1" containsNumber="1" containsInteger="1" minValue="67518" maxValue="7755381"/>
    </cacheField>
    <cacheField name="Medicaid Enrollment (2016)" numFmtId="0">
      <sharedItems containsSemiMixedTypes="0" containsString="0" containsNumber="1" containsInteger="1" minValue="63583" maxValue="11843081"/>
    </cacheField>
    <cacheField name="Medicaid Enrollment Change (2013-2016)" numFmtId="0">
      <sharedItems containsString="0" containsBlank="1" containsNumber="1" containsInteger="1" minValue="-3935" maxValue="4087700"/>
    </cacheField>
    <cacheField name="Medicare Enrollment (2016)" numFmtId="0">
      <sharedItems containsSemiMixedTypes="0" containsString="0" containsNumber="1" containsInteger="1" minValue="88966" maxValue="5829777"/>
    </cacheField>
  </cacheFields>
  <extLst>
    <ext xmlns:x14="http://schemas.microsoft.com/office/spreadsheetml/2009/9/main" uri="{725AE2AE-9491-48be-B2B4-4EB974FC3084}">
      <x14:pivotCacheDefinition pivotCacheId="176297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n v="0.14599999999999999"/>
    <n v="0.10100000000000001"/>
    <n v="-4.4999999999999998E-2"/>
    <n v="215000"/>
    <n v="2545000"/>
    <n v="165534"/>
    <n v="152206"/>
    <n v="310"/>
    <x v="0"/>
    <n v="799176"/>
    <n v="910775"/>
    <n v="111599"/>
    <n v="989855"/>
  </r>
  <r>
    <x v="1"/>
    <n v="0.19900000000000001"/>
    <n v="0.14899999999999999"/>
    <n v="-0.05"/>
    <n v="36000"/>
    <n v="390000"/>
    <n v="17995"/>
    <n v="16205"/>
    <n v="750"/>
    <x v="1"/>
    <n v="122334"/>
    <n v="166625"/>
    <n v="44291"/>
    <n v="88966"/>
  </r>
  <r>
    <x v="2"/>
    <n v="0.16900000000000001"/>
    <n v="0.108"/>
    <n v="-6.0999999999999999E-2"/>
    <n v="410000"/>
    <n v="3288000"/>
    <n v="179445"/>
    <n v="124346"/>
    <n v="230"/>
    <x v="1"/>
    <n v="1201770"/>
    <n v="1716198"/>
    <n v="514428"/>
    <n v="1175624"/>
  </r>
  <r>
    <x v="3"/>
    <n v="0.17499999999999999"/>
    <n v="9.5000000000000001E-2"/>
    <n v="-0.08"/>
    <n v="234000"/>
    <n v="1365000"/>
    <n v="63357"/>
    <n v="56843"/>
    <n v="306"/>
    <x v="1"/>
    <n v="556851"/>
    <n v="920194"/>
    <n v="363343"/>
    <n v="606146"/>
  </r>
  <r>
    <x v="4"/>
    <n v="0.185"/>
    <n v="8.5999999999999993E-2"/>
    <n v="-9.9000000000000005E-2"/>
    <n v="3826000"/>
    <n v="19552000"/>
    <n v="1415428"/>
    <n v="1239893"/>
    <n v="309"/>
    <x v="1"/>
    <n v="7755381"/>
    <n v="11843081"/>
    <n v="4087700"/>
    <n v="5829777"/>
  </r>
  <r>
    <x v="5"/>
    <n v="0.159"/>
    <n v="8.1000000000000003E-2"/>
    <n v="-7.8E-2"/>
    <n v="419000"/>
    <n v="2949000"/>
    <n v="108311"/>
    <n v="67062"/>
    <n v="318"/>
    <x v="1"/>
    <n v="783420"/>
    <n v="1375264"/>
    <n v="591844"/>
    <n v="820234"/>
  </r>
  <r>
    <x v="6"/>
    <n v="9.0999999999999998E-2"/>
    <n v="0.06"/>
    <n v="-3.1E-2"/>
    <n v="110000"/>
    <n v="2148000"/>
    <n v="102917"/>
    <n v="80759"/>
    <n v="357"/>
    <x v="1"/>
    <m/>
    <n v="761137"/>
    <m/>
    <n v="644136"/>
  </r>
  <r>
    <x v="7"/>
    <n v="9.7000000000000003E-2"/>
    <n v="5.8999999999999997E-2"/>
    <n v="-3.7999999999999999E-2"/>
    <n v="35000"/>
    <n v="564000"/>
    <n v="25379"/>
    <n v="21467"/>
    <n v="330"/>
    <x v="1"/>
    <n v="223324"/>
    <n v="236702"/>
    <n v="13378"/>
    <n v="186835"/>
  </r>
  <r>
    <x v="8"/>
    <n v="7.5999999999999998E-2"/>
    <n v="3.7999999999999999E-2"/>
    <n v="-3.7999999999999999E-2"/>
    <n v="25000"/>
    <n v="388000"/>
    <n v="17666"/>
    <n v="1224"/>
    <n v="183"/>
    <x v="1"/>
    <n v="235786"/>
    <n v="255491"/>
    <n v="19705"/>
    <n v="90492"/>
  </r>
  <r>
    <x v="9"/>
    <n v="0.21299999999999999"/>
    <n v="0.13300000000000001"/>
    <n v="-0.08"/>
    <n v="1597000"/>
    <n v="8847000"/>
    <n v="1531714"/>
    <n v="1428712"/>
    <n v="305"/>
    <x v="0"/>
    <n v="3104996"/>
    <n v="3644673"/>
    <n v="539677"/>
    <n v="4149593"/>
  </r>
  <r>
    <x v="10"/>
    <n v="0.19700000000000001"/>
    <n v="0.13900000000000001"/>
    <n v="-5.8000000000000003E-2"/>
    <n v="581000"/>
    <n v="5240000"/>
    <n v="478016"/>
    <n v="427353"/>
    <n v="291"/>
    <x v="0"/>
    <n v="1535090"/>
    <n v="1782301"/>
    <n v="247211"/>
    <n v="1574058"/>
  </r>
  <r>
    <x v="11"/>
    <n v="7.9000000000000001E-2"/>
    <n v="0.04"/>
    <n v="-3.9E-2"/>
    <n v="54000"/>
    <n v="867000"/>
    <n v="13313"/>
    <n v="10958"/>
    <n v="270"/>
    <x v="1"/>
    <n v="288357"/>
    <n v="341200"/>
    <n v="52843"/>
    <n v="252514"/>
  </r>
  <r>
    <x v="12"/>
    <n v="0.17699999999999999"/>
    <n v="0.11"/>
    <n v="-6.7000000000000004E-2"/>
    <n v="109000"/>
    <n v="836000"/>
    <n v="94270"/>
    <n v="82802"/>
    <n v="265"/>
    <x v="0"/>
    <n v="238150"/>
    <n v="293905"/>
    <n v="55755"/>
    <n v="294284"/>
  </r>
  <r>
    <x v="13"/>
    <n v="0.13800000000000001"/>
    <n v="7.0999999999999994E-2"/>
    <n v="-6.7000000000000004E-2"/>
    <n v="850000"/>
    <n v="7359000"/>
    <n v="335243"/>
    <n v="259701"/>
    <n v="237"/>
    <x v="1"/>
    <n v="2626943"/>
    <n v="3117939"/>
    <n v="490996"/>
    <n v="2118300"/>
  </r>
  <r>
    <x v="14"/>
    <n v="0.14799999999999999"/>
    <n v="9.6000000000000002E-2"/>
    <n v="-5.1999999999999998E-2"/>
    <n v="339000"/>
    <n v="3825000"/>
    <n v="168884"/>
    <n v="139437"/>
    <n v="259"/>
    <x v="1"/>
    <n v="1120674"/>
    <n v="1489805"/>
    <n v="369131"/>
    <n v="1181014"/>
  </r>
  <r>
    <x v="15"/>
    <n v="9.2999999999999999E-2"/>
    <n v="0.05"/>
    <n v="-4.2999999999999997E-2"/>
    <n v="132000"/>
    <n v="1862000"/>
    <n v="48949"/>
    <n v="42595"/>
    <n v="307"/>
    <x v="1"/>
    <n v="493515"/>
    <n v="619055"/>
    <n v="125540"/>
    <n v="587780"/>
  </r>
  <r>
    <x v="16"/>
    <n v="0.13900000000000001"/>
    <n v="9.0999999999999998E-2"/>
    <n v="-4.8000000000000001E-2"/>
    <n v="137000"/>
    <n v="1659000"/>
    <n v="89566"/>
    <n v="75815"/>
    <n v="247"/>
    <x v="0"/>
    <n v="378160"/>
    <n v="421638"/>
    <n v="43478"/>
    <n v="499753"/>
  </r>
  <r>
    <x v="17"/>
    <n v="0.153"/>
    <n v="0.06"/>
    <n v="-9.2999999999999999E-2"/>
    <n v="404000"/>
    <n v="2316000"/>
    <n v="74640"/>
    <n v="56488"/>
    <n v="258"/>
    <x v="1"/>
    <n v="606805"/>
    <n v="1220788"/>
    <n v="613983"/>
    <n v="881938"/>
  </r>
  <r>
    <x v="18"/>
    <n v="0.17799999999999999"/>
    <n v="0.11899999999999999"/>
    <n v="-5.8999999999999997E-2"/>
    <n v="269000"/>
    <n v="2295000"/>
    <n v="184403"/>
    <n v="170806"/>
    <n v="362"/>
    <x v="1"/>
    <n v="1019787"/>
    <n v="1328708"/>
    <n v="308921"/>
    <n v="817272"/>
  </r>
  <r>
    <x v="19"/>
    <n v="0.10100000000000001"/>
    <n v="8.4000000000000005E-2"/>
    <n v="-1.7000000000000001E-2"/>
    <n v="22000"/>
    <n v="702000"/>
    <n v="75240"/>
    <n v="63896"/>
    <n v="342"/>
    <x v="0"/>
    <m/>
    <n v="273160"/>
    <m/>
    <n v="315160"/>
  </r>
  <r>
    <x v="20"/>
    <n v="0.113"/>
    <n v="6.6000000000000003E-2"/>
    <n v="-4.7E-2"/>
    <n v="278000"/>
    <n v="3700000"/>
    <n v="135208"/>
    <n v="100844"/>
    <n v="243"/>
    <x v="1"/>
    <n v="856297"/>
    <n v="1252304"/>
    <n v="396007"/>
    <n v="960848"/>
  </r>
  <r>
    <x v="21"/>
    <n v="4.3999999999999997E-2"/>
    <n v="2.8000000000000001E-2"/>
    <n v="-1.6E-2"/>
    <n v="107000"/>
    <n v="4232000"/>
    <n v="207121"/>
    <n v="157751"/>
    <n v="190"/>
    <x v="1"/>
    <n v="1296359"/>
    <n v="1684328"/>
    <n v="387969"/>
    <n v="1252277"/>
  </r>
  <r>
    <x v="22"/>
    <n v="0.124"/>
    <n v="6.0999999999999999E-2"/>
    <n v="-6.3E-2"/>
    <n v="618000"/>
    <n v="5876000"/>
    <n v="313123"/>
    <n v="275080"/>
    <n v="233"/>
    <x v="1"/>
    <n v="1912009"/>
    <n v="2300958"/>
    <n v="388949"/>
    <n v="1947787"/>
  </r>
  <r>
    <x v="23"/>
    <n v="9.0999999999999998E-2"/>
    <n v="4.4999999999999998E-2"/>
    <n v="-4.5999999999999999E-2"/>
    <n v="250000"/>
    <n v="3319000"/>
    <n v="74060"/>
    <n v="47266"/>
    <n v="203"/>
    <x v="1"/>
    <n v="873040"/>
    <n v="1051509"/>
    <n v="178469"/>
    <n v="944222"/>
  </r>
  <r>
    <x v="24"/>
    <n v="0.182"/>
    <n v="0.127"/>
    <n v="-5.5E-2"/>
    <n v="161000"/>
    <n v="1326000"/>
    <n v="77747"/>
    <n v="73246"/>
    <n v="306"/>
    <x v="0"/>
    <n v="637229"/>
    <n v="693869"/>
    <n v="56640"/>
    <n v="571699"/>
  </r>
  <r>
    <x v="25"/>
    <n v="0.13200000000000001"/>
    <n v="9.8000000000000004E-2"/>
    <n v="-3.4000000000000002E-2"/>
    <n v="203000"/>
    <n v="3389000"/>
    <n v="252044"/>
    <n v="225878"/>
    <n v="315"/>
    <x v="0"/>
    <n v="846084"/>
    <n v="967284"/>
    <n v="121200"/>
    <n v="1163543"/>
  </r>
  <r>
    <x v="26"/>
    <n v="0.17299999999999999"/>
    <n v="0.11600000000000001"/>
    <n v="-5.7000000000000002E-2"/>
    <n v="58000"/>
    <n v="510000"/>
    <n v="51758"/>
    <n v="44091"/>
    <n v="306"/>
    <x v="1"/>
    <n v="148974"/>
    <n v="224048"/>
    <n v="75074"/>
    <n v="209389"/>
  </r>
  <r>
    <x v="27"/>
    <n v="0.115"/>
    <n v="8.2000000000000003E-2"/>
    <n v="-3.3000000000000002E-2"/>
    <n v="62000"/>
    <n v="1100000"/>
    <n v="80213"/>
    <n v="72091"/>
    <n v="296"/>
    <x v="0"/>
    <n v="244600"/>
    <n v="242702"/>
    <n v="-1898"/>
    <n v="322796"/>
  </r>
  <r>
    <x v="28"/>
    <n v="0.22600000000000001"/>
    <n v="0.123"/>
    <n v="-0.10299999999999999"/>
    <n v="294000"/>
    <n v="1505000"/>
    <n v="79876"/>
    <n v="71472"/>
    <n v="268"/>
    <x v="1"/>
    <n v="332560"/>
    <n v="614298"/>
    <n v="281738"/>
    <n v="471747"/>
  </r>
  <r>
    <x v="29"/>
    <n v="0.111"/>
    <n v="6.3E-2"/>
    <n v="-4.8000000000000001E-2"/>
    <n v="63000"/>
    <n v="853000"/>
    <n v="49114"/>
    <n v="31151"/>
    <n v="261"/>
    <x v="1"/>
    <n v="127082"/>
    <n v="189429"/>
    <n v="62347"/>
    <n v="275803"/>
  </r>
  <r>
    <x v="30"/>
    <n v="0.13200000000000001"/>
    <n v="8.6999999999999994E-2"/>
    <n v="-4.4999999999999998E-2"/>
    <n v="398000"/>
    <n v="5450000"/>
    <n v="249395"/>
    <n v="205242"/>
    <n v="322"/>
    <x v="1"/>
    <n v="1283851"/>
    <n v="1784529"/>
    <n v="500678"/>
    <n v="1528961"/>
  </r>
  <r>
    <x v="31"/>
    <n v="0.19600000000000001"/>
    <n v="0.109"/>
    <n v="-8.6999999999999994E-2"/>
    <n v="178000"/>
    <n v="884000"/>
    <n v="47497"/>
    <n v="32703"/>
    <n v="212"/>
    <x v="1"/>
    <n v="457678"/>
    <n v="766732"/>
    <n v="309054"/>
    <n v="385918"/>
  </r>
  <r>
    <x v="32"/>
    <n v="0.11899999999999999"/>
    <n v="7.0999999999999994E-2"/>
    <n v="-4.8000000000000001E-2"/>
    <n v="939000"/>
    <n v="10895000"/>
    <n v="224014"/>
    <n v="123830"/>
    <n v="178"/>
    <x v="1"/>
    <n v="5678417"/>
    <n v="6431165"/>
    <n v="752748"/>
    <n v="3424666"/>
  </r>
  <r>
    <x v="33"/>
    <n v="0.16800000000000001"/>
    <n v="0.112"/>
    <n v="-5.6000000000000001E-2"/>
    <n v="552000"/>
    <n v="4934000"/>
    <n v="545354"/>
    <n v="499178"/>
    <n v="401"/>
    <x v="0"/>
    <n v="1595952"/>
    <n v="2072282"/>
    <n v="476330"/>
    <n v="1823454"/>
  </r>
  <r>
    <x v="34"/>
    <n v="9.8000000000000004E-2"/>
    <n v="7.8E-2"/>
    <n v="-0.02"/>
    <n v="15000"/>
    <n v="450000"/>
    <n v="20536"/>
    <n v="17630"/>
    <n v="262"/>
    <x v="1"/>
    <n v="69980"/>
    <n v="89763"/>
    <n v="19783"/>
    <n v="122294"/>
  </r>
  <r>
    <x v="35"/>
    <n v="0.123"/>
    <n v="6.5000000000000002E-2"/>
    <n v="-5.8000000000000003E-2"/>
    <n v="664000"/>
    <n v="6831000"/>
    <n v="212046"/>
    <n v="174448"/>
    <n v="250"/>
    <x v="1"/>
    <n v="2341481"/>
    <n v="3003170"/>
    <n v="661689"/>
    <n v="2208504"/>
  </r>
  <r>
    <x v="36"/>
    <n v="0.189"/>
    <n v="0.13900000000000001"/>
    <n v="-0.05"/>
    <n v="192000"/>
    <n v="1948000"/>
    <n v="130178"/>
    <n v="113209"/>
    <n v="298"/>
    <x v="0"/>
    <n v="790051"/>
    <n v="788544"/>
    <n v="-1507"/>
    <n v="693677"/>
  </r>
  <r>
    <x v="37"/>
    <n v="0.17100000000000001"/>
    <n v="7.0000000000000007E-2"/>
    <n v="-0.10100000000000001"/>
    <n v="403000"/>
    <n v="2070000"/>
    <n v="131167"/>
    <n v="95507"/>
    <n v="253"/>
    <x v="1"/>
    <n v="626356"/>
    <n v="1021862"/>
    <n v="395506"/>
    <n v="784032"/>
  </r>
  <r>
    <x v="38"/>
    <n v="0.10199999999999999"/>
    <n v="6.4000000000000001E-2"/>
    <n v="-3.7999999999999999E-2"/>
    <n v="479000"/>
    <n v="7502000"/>
    <n v="412347"/>
    <n v="321345"/>
    <n v="248"/>
    <x v="1"/>
    <n v="2386046"/>
    <n v="2883114"/>
    <n v="497068"/>
    <n v="2588577"/>
  </r>
  <r>
    <x v="39"/>
    <n v="0.122"/>
    <n v="5.7000000000000002E-2"/>
    <n v="-6.5000000000000002E-2"/>
    <n v="68000"/>
    <n v="597000"/>
    <n v="35583"/>
    <n v="30015"/>
    <n v="250"/>
    <x v="1"/>
    <n v="190833"/>
    <n v="287173"/>
    <n v="96340"/>
    <n v="208324"/>
  </r>
  <r>
    <x v="40"/>
    <n v="0.17499999999999999"/>
    <n v="0.109"/>
    <n v="-6.6000000000000003E-2"/>
    <n v="317000"/>
    <n v="2487000"/>
    <n v="204846"/>
    <n v="186345"/>
    <n v="312"/>
    <x v="0"/>
    <n v="889744"/>
    <n v="994804"/>
    <n v="105060"/>
    <n v="974114"/>
  </r>
  <r>
    <x v="41"/>
    <n v="0.124"/>
    <n v="0.10199999999999999"/>
    <n v="-2.1999999999999999E-2"/>
    <n v="19000"/>
    <n v="449000"/>
    <n v="24578"/>
    <n v="22005"/>
    <n v="307"/>
    <x v="0"/>
    <n v="115501"/>
    <n v="119835"/>
    <n v="4334"/>
    <n v="161464"/>
  </r>
  <r>
    <x v="42"/>
    <n v="0.14399999999999999"/>
    <n v="0.10299999999999999"/>
    <n v="-4.1000000000000002E-2"/>
    <n v="266000"/>
    <n v="3369000"/>
    <n v="231705"/>
    <n v="203112"/>
    <n v="299"/>
    <x v="0"/>
    <n v="1244516"/>
    <n v="1627100"/>
    <n v="382584"/>
    <n v="1266920"/>
  </r>
  <r>
    <x v="43"/>
    <n v="0.23699999999999999"/>
    <n v="0.17100000000000001"/>
    <n v="-6.6000000000000003E-2"/>
    <n v="1781000"/>
    <n v="13709000"/>
    <n v="1092650"/>
    <n v="913177"/>
    <n v="271"/>
    <x v="0"/>
    <n v="4441605"/>
    <n v="4770229"/>
    <n v="328624"/>
    <n v="3765946"/>
  </r>
  <r>
    <x v="44"/>
    <n v="0.153"/>
    <n v="0.105"/>
    <n v="-4.8000000000000001E-2"/>
    <n v="143000"/>
    <n v="1897000"/>
    <n v="164415"/>
    <n v="145288"/>
    <n v="187"/>
    <x v="0"/>
    <n v="294029"/>
    <n v="314182"/>
    <n v="20153"/>
    <n v="358887"/>
  </r>
  <r>
    <x v="45"/>
    <n v="0.08"/>
    <n v="3.7999999999999999E-2"/>
    <n v="-4.2000000000000003E-2"/>
    <n v="26000"/>
    <n v="345000"/>
    <n v="27883"/>
    <n v="19575"/>
    <n v="300"/>
    <x v="1"/>
    <n v="161081"/>
    <n v="175597"/>
    <n v="14516"/>
    <n v="136021"/>
  </r>
  <r>
    <x v="46"/>
    <n v="0.13100000000000001"/>
    <n v="9.0999999999999998E-2"/>
    <n v="-0.04"/>
    <n v="327000"/>
    <n v="4850000"/>
    <n v="378838"/>
    <n v="319068"/>
    <n v="276"/>
    <x v="0"/>
    <n v="935434"/>
    <n v="988821"/>
    <n v="53387"/>
    <n v="1392261"/>
  </r>
  <r>
    <x v="47"/>
    <n v="0.14199999999999999"/>
    <n v="6.6000000000000003E-2"/>
    <n v="-7.5999999999999998E-2"/>
    <n v="537000"/>
    <n v="3986000"/>
    <n v="158245"/>
    <n v="110476"/>
    <n v="238"/>
    <x v="1"/>
    <n v="1117576"/>
    <n v="1788536"/>
    <n v="670960"/>
    <n v="1238649"/>
  </r>
  <r>
    <x v="48"/>
    <n v="0.14599999999999999"/>
    <n v="0.06"/>
    <n v="-8.5999999999999993E-2"/>
    <n v="156000"/>
    <n v="976000"/>
    <n v="33235"/>
    <n v="29163"/>
    <n v="388"/>
    <x v="1"/>
    <n v="354544"/>
    <n v="575645"/>
    <n v="221101"/>
    <n v="423500"/>
  </r>
  <r>
    <x v="49"/>
    <n v="9.4E-2"/>
    <n v="5.7000000000000002E-2"/>
    <n v="-3.6999999999999998E-2"/>
    <n v="211000"/>
    <n v="3521000"/>
    <n v="224208"/>
    <n v="190542"/>
    <n v="332"/>
    <x v="0"/>
    <n v="985531"/>
    <n v="1046897"/>
    <n v="61366"/>
    <n v="1084854"/>
  </r>
  <r>
    <x v="50"/>
    <n v="0.14899999999999999"/>
    <n v="0.115"/>
    <n v="-3.4000000000000002E-2"/>
    <n v="20000"/>
    <n v="335000"/>
    <n v="22076"/>
    <n v="20313"/>
    <n v="459"/>
    <x v="0"/>
    <n v="67518"/>
    <n v="63583"/>
    <n v="-3935"/>
    <n v="991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A9BBE7-3764-4D8F-8183-1290ECC306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2" firstHeaderRow="0" firstDataRow="1" firstDataCol="1"/>
  <pivotFields count="14">
    <pivotField axis="axisRow" showAll="0" measureFilter="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dataField="1" showAll="0"/>
    <pivotField dataField="1" showAll="0"/>
    <pivotField showAll="0"/>
    <pivotField showAll="0"/>
    <pivotField showAll="0"/>
    <pivotField showAll="0"/>
    <pivotField showAll="0"/>
    <pivotField numFmtId="6" showAll="0"/>
    <pivotField showAll="0">
      <items count="4">
        <item x="0"/>
        <item x="1"/>
        <item m="1" x="2"/>
        <item t="default"/>
      </items>
    </pivotField>
    <pivotField showAll="0"/>
    <pivotField showAll="0"/>
    <pivotField showAll="0"/>
    <pivotField showAll="0"/>
  </pivotFields>
  <rowFields count="1">
    <field x="0"/>
  </rowFields>
  <rowItems count="11">
    <i>
      <x v="1"/>
    </i>
    <i>
      <x v="9"/>
    </i>
    <i>
      <x v="10"/>
    </i>
    <i>
      <x v="18"/>
    </i>
    <i>
      <x v="24"/>
    </i>
    <i>
      <x v="26"/>
    </i>
    <i>
      <x v="28"/>
    </i>
    <i>
      <x v="36"/>
    </i>
    <i>
      <x v="43"/>
    </i>
    <i>
      <x v="51"/>
    </i>
    <i t="grand">
      <x/>
    </i>
  </rowItems>
  <colFields count="1">
    <field x="-2"/>
  </colFields>
  <colItems count="2">
    <i>
      <x/>
    </i>
    <i i="1">
      <x v="1"/>
    </i>
  </colItems>
  <dataFields count="2">
    <dataField name="Average of Uninsured Rate (2010)" fld="1" subtotal="average" baseField="0" baseItem="0"/>
    <dataField name="Average of Uninsured Rate (2015)" fld="2" subtotal="average" baseField="0" baseItem="0"/>
  </dataFields>
  <formats count="6">
    <format dxfId="619">
      <pivotArea type="all" dataOnly="0" outline="0" fieldPosition="0"/>
    </format>
    <format dxfId="618">
      <pivotArea outline="0" collapsedLevelsAreSubtotals="1" fieldPosition="0"/>
    </format>
    <format dxfId="617">
      <pivotArea field="0" type="button" dataOnly="0" labelOnly="1" outline="0" axis="axisRow" fieldPosition="0"/>
    </format>
    <format dxfId="616">
      <pivotArea dataOnly="0" labelOnly="1" fieldPosition="0">
        <references count="1">
          <reference field="0" count="10">
            <x v="1"/>
            <x v="9"/>
            <x v="10"/>
            <x v="18"/>
            <x v="24"/>
            <x v="26"/>
            <x v="28"/>
            <x v="36"/>
            <x v="43"/>
            <x v="51"/>
          </reference>
        </references>
      </pivotArea>
    </format>
    <format dxfId="615">
      <pivotArea dataOnly="0" labelOnly="1" grandRow="1" outline="0" fieldPosition="0"/>
    </format>
    <format dxfId="614">
      <pivotArea dataOnly="0" labelOnly="1" outline="0" fieldPosition="0">
        <references count="1">
          <reference field="4294967294" count="2">
            <x v="0"/>
            <x v="1"/>
          </reference>
        </references>
      </pivotArea>
    </format>
  </formats>
  <chartFormats count="4">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53CA0-21E1-4BB2-9CB6-86DCB4F9109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4" firstHeaderRow="1" firstDataRow="1" firstDataCol="1"/>
  <pivotFields count="14">
    <pivotField showAll="0">
      <items count="53">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m="1" x="51"/>
        <item h="1" x="44"/>
        <item h="1" x="45"/>
        <item h="1" x="46"/>
        <item h="1" x="47"/>
        <item h="1" x="48"/>
        <item h="1" x="49"/>
        <item h="1" x="50"/>
        <item t="default"/>
      </items>
    </pivotField>
    <pivotField showAll="0"/>
    <pivotField showAll="0"/>
    <pivotField dataField="1" showAll="0"/>
    <pivotField showAll="0"/>
    <pivotField showAll="0"/>
    <pivotField showAll="0"/>
    <pivotField showAll="0"/>
    <pivotField numFmtId="6" showAll="0"/>
    <pivotField axis="axisRow" showAll="0">
      <items count="4">
        <item x="0"/>
        <item x="1"/>
        <item m="1" x="2"/>
        <item t="default"/>
      </items>
    </pivotField>
    <pivotField showAll="0"/>
    <pivotField showAll="0"/>
    <pivotField showAll="0"/>
    <pivotField showAll="0"/>
  </pivotFields>
  <rowFields count="1">
    <field x="9"/>
  </rowFields>
  <rowItems count="3">
    <i>
      <x/>
    </i>
    <i>
      <x v="1"/>
    </i>
    <i t="grand">
      <x/>
    </i>
  </rowItems>
  <colItems count="1">
    <i/>
  </colItems>
  <dataFields count="1">
    <dataField name="Average of Uninsured Rate Change (2010-2015)" fld="3" subtotal="average" baseField="9" baseItem="0" numFmtId="10"/>
  </dataFields>
  <formats count="6">
    <format dxfId="613">
      <pivotArea type="all" dataOnly="0" outline="0" fieldPosition="0"/>
    </format>
    <format dxfId="612">
      <pivotArea outline="0" collapsedLevelsAreSubtotals="1" fieldPosition="0"/>
    </format>
    <format dxfId="611">
      <pivotArea field="9" type="button" dataOnly="0" labelOnly="1" outline="0" axis="axisRow" fieldPosition="0"/>
    </format>
    <format dxfId="610">
      <pivotArea dataOnly="0" labelOnly="1" fieldPosition="0">
        <references count="1">
          <reference field="9" count="0"/>
        </references>
      </pivotArea>
    </format>
    <format dxfId="609">
      <pivotArea dataOnly="0" labelOnly="1" grandRow="1" outline="0" fieldPosition="0"/>
    </format>
    <format dxfId="608">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7410D1-C393-43B5-BE18-8CAEB736BF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4" firstHeaderRow="1" firstDataRow="1" firstDataCol="1"/>
  <pivotFields count="14">
    <pivotField showAll="0">
      <items count="53">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m="1" x="51"/>
        <item h="1" x="44"/>
        <item h="1" x="45"/>
        <item h="1" x="46"/>
        <item h="1" x="47"/>
        <item h="1" x="48"/>
        <item h="1" x="49"/>
        <item h="1" x="50"/>
        <item t="default"/>
      </items>
    </pivotField>
    <pivotField showAll="0"/>
    <pivotField showAll="0"/>
    <pivotField showAll="0"/>
    <pivotField showAll="0"/>
    <pivotField showAll="0"/>
    <pivotField showAll="0"/>
    <pivotField showAll="0"/>
    <pivotField numFmtId="6" showAll="0"/>
    <pivotField axis="axisRow" showAll="0">
      <items count="4">
        <item x="0"/>
        <item x="1"/>
        <item m="1" x="2"/>
        <item t="default"/>
      </items>
    </pivotField>
    <pivotField showAll="0"/>
    <pivotField showAll="0"/>
    <pivotField dataField="1" showAll="0"/>
    <pivotField showAll="0"/>
  </pivotFields>
  <rowFields count="1">
    <field x="9"/>
  </rowFields>
  <rowItems count="3">
    <i>
      <x/>
    </i>
    <i>
      <x v="1"/>
    </i>
    <i t="grand">
      <x/>
    </i>
  </rowItems>
  <colItems count="1">
    <i/>
  </colItems>
  <dataFields count="1">
    <dataField name="Average of Medicaid Enrollment Change (2013-2016)" fld="12" subtotal="average" baseField="9" baseItem="0"/>
  </dataFields>
  <formats count="6">
    <format dxfId="607">
      <pivotArea type="all" dataOnly="0" outline="0" fieldPosition="0"/>
    </format>
    <format dxfId="606">
      <pivotArea outline="0" collapsedLevelsAreSubtotals="1" fieldPosition="0"/>
    </format>
    <format dxfId="605">
      <pivotArea field="9" type="button" dataOnly="0" labelOnly="1" outline="0" axis="axisRow" fieldPosition="0"/>
    </format>
    <format dxfId="604">
      <pivotArea dataOnly="0" labelOnly="1" fieldPosition="0">
        <references count="1">
          <reference field="9" count="0"/>
        </references>
      </pivotArea>
    </format>
    <format dxfId="603">
      <pivotArea dataOnly="0" labelOnly="1" grandRow="1" outline="0" fieldPosition="0"/>
    </format>
    <format dxfId="602">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D955ED-9069-46A4-A29A-8C0F553C487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axis="axisRow" showAll="0" measureFilter="1" sortType="ascending">
      <items count="53">
        <item x="50"/>
        <item x="49"/>
        <item x="48"/>
        <item x="47"/>
        <item x="46"/>
        <item x="45"/>
        <item x="44"/>
        <item m="1" x="51"/>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6" showAll="0"/>
    <pivotField showAll="0">
      <items count="4">
        <item x="0"/>
        <item x="1"/>
        <item m="1" x="2"/>
        <item t="default"/>
      </items>
    </pivotField>
    <pivotField showAll="0"/>
    <pivotField showAll="0"/>
    <pivotField showAll="0"/>
    <pivotField showAll="0"/>
  </pivotFields>
  <rowFields count="1">
    <field x="0"/>
  </rowFields>
  <rowItems count="11">
    <i>
      <x v="41"/>
    </i>
    <i>
      <x v="21"/>
    </i>
    <i>
      <x v="29"/>
    </i>
    <i>
      <x v="16"/>
    </i>
    <i>
      <x v="38"/>
    </i>
    <i>
      <x v="13"/>
    </i>
    <i>
      <x v="42"/>
    </i>
    <i>
      <x v="19"/>
    </i>
    <i>
      <x v="8"/>
    </i>
    <i>
      <x v="47"/>
    </i>
    <i t="grand">
      <x/>
    </i>
  </rowItems>
  <colItems count="1">
    <i/>
  </colItems>
  <dataFields count="1">
    <dataField name="Average of Employer Health Insurance Coverage (2015)" fld="5"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50F7B8-1251-4AE8-91A9-F03D7EB325E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2" firstHeaderRow="0" firstDataRow="1" firstDataCol="1"/>
  <pivotFields count="14">
    <pivotField axis="axisRow" showAll="0" measureFilter="1">
      <items count="53">
        <item x="50"/>
        <item x="49"/>
        <item x="48"/>
        <item x="47"/>
        <item x="46"/>
        <item x="45"/>
        <item x="44"/>
        <item m="1" x="51"/>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pivotField dataField="1" showAll="0"/>
    <pivotField showAll="0"/>
    <pivotField showAll="0"/>
    <pivotField numFmtId="6" showAll="0"/>
    <pivotField showAll="0">
      <items count="4">
        <item x="0"/>
        <item x="1"/>
        <item m="1" x="2"/>
        <item t="default"/>
      </items>
    </pivotField>
    <pivotField showAll="0"/>
    <pivotField showAll="0"/>
    <pivotField showAll="0"/>
    <pivotField showAll="0"/>
  </pivotFields>
  <rowFields count="1">
    <field x="0"/>
  </rowFields>
  <rowItems count="11">
    <i>
      <x v="8"/>
    </i>
    <i>
      <x v="13"/>
    </i>
    <i>
      <x v="16"/>
    </i>
    <i>
      <x v="19"/>
    </i>
    <i>
      <x v="21"/>
    </i>
    <i>
      <x v="29"/>
    </i>
    <i>
      <x v="38"/>
    </i>
    <i>
      <x v="41"/>
    </i>
    <i>
      <x v="42"/>
    </i>
    <i>
      <x v="47"/>
    </i>
    <i t="grand">
      <x/>
    </i>
  </rowItems>
  <colFields count="1">
    <field x="-2"/>
  </colFields>
  <colItems count="2">
    <i>
      <x/>
    </i>
    <i i="1">
      <x v="1"/>
    </i>
  </colItems>
  <dataFields count="2">
    <dataField name="Average of Employer Health Insurance Coverage (2015)" fld="5" subtotal="average" baseField="0" baseItem="0"/>
    <dataField name="Average of Uninsured Rate (2015)" fld="2" subtotal="average" baseField="0" baseItem="8" numFmtId="9"/>
  </dataFields>
  <formats count="2">
    <format dxfId="601">
      <pivotArea outline="0" collapsedLevelsAreSubtotals="1" fieldPosition="0">
        <references count="1">
          <reference field="4294967294" count="1" selected="0">
            <x v="1"/>
          </reference>
        </references>
      </pivotArea>
    </format>
    <format dxfId="600">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7BD3D3-BDBE-4227-A5CD-FF3C39C9465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3" firstHeaderRow="0" firstDataRow="1" firstDataCol="1"/>
  <pivotFields count="14">
    <pivotField axis="axisRow" showAll="0">
      <items count="53">
        <item h="1" x="50"/>
        <item h="1" x="49"/>
        <item h="1" x="48"/>
        <item h="1" x="47"/>
        <item h="1" x="46"/>
        <item h="1" x="45"/>
        <item h="1" x="44"/>
        <item h="1" m="1" x="51"/>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x="18"/>
        <item h="1" x="17"/>
        <item h="1" x="16"/>
        <item h="1" x="15"/>
        <item h="1" x="14"/>
        <item h="1" x="13"/>
        <item h="1" x="12"/>
        <item h="1" x="11"/>
        <item h="1" x="10"/>
        <item h="1" x="9"/>
        <item h="1" x="8"/>
        <item h="1" x="7"/>
        <item h="1" x="6"/>
        <item h="1" x="5"/>
        <item h="1" x="4"/>
        <item h="1" x="3"/>
        <item h="1" x="2"/>
        <item h="1" x="1"/>
        <item h="1" x="0"/>
        <item t="default"/>
      </items>
    </pivotField>
    <pivotField showAll="0"/>
    <pivotField dataField="1" showAll="0"/>
    <pivotField showAll="0"/>
    <pivotField showAll="0"/>
    <pivotField showAll="0"/>
    <pivotField showAll="0"/>
    <pivotField showAll="0"/>
    <pivotField numFmtId="6" showAll="0"/>
    <pivotField showAll="0">
      <items count="4">
        <item x="0"/>
        <item x="1"/>
        <item m="1" x="2"/>
        <item t="default"/>
      </items>
    </pivotField>
    <pivotField showAll="0"/>
    <pivotField showAll="0"/>
    <pivotField showAll="0"/>
    <pivotField dataField="1" showAll="0"/>
  </pivotFields>
  <rowFields count="1">
    <field x="0"/>
  </rowFields>
  <rowItems count="2">
    <i>
      <x v="33"/>
    </i>
    <i t="grand">
      <x/>
    </i>
  </rowItems>
  <colFields count="1">
    <field x="-2"/>
  </colFields>
  <colItems count="2">
    <i>
      <x/>
    </i>
    <i i="1">
      <x v="1"/>
    </i>
  </colItems>
  <dataFields count="2">
    <dataField name="Average of Uninsured Rate (2015)" fld="2" subtotal="average" baseField="0" baseItem="8" numFmtId="9"/>
    <dataField name="Average of Medicare Enrollment (2016)" fld="13" subtotal="average" baseField="0" baseItem="0"/>
  </dataFields>
  <formats count="2">
    <format dxfId="599">
      <pivotArea outline="0" collapsedLevelsAreSubtotals="1" fieldPosition="0">
        <references count="1">
          <reference field="4294967294" count="1" selected="0">
            <x v="0"/>
          </reference>
        </references>
      </pivotArea>
    </format>
    <format dxfId="598">
      <pivotArea dataOnly="0" labelOnly="1" outline="0" fieldPosition="0">
        <references count="1">
          <reference field="4294967294" count="1">
            <x v="0"/>
          </reference>
        </references>
      </pivotArea>
    </format>
  </formats>
  <chartFormats count="3">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3E39F-3DDC-47A2-9C9D-D98793B2212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28" firstHeaderRow="1" firstDataRow="1" firstDataCol="1"/>
  <pivotFields count="14">
    <pivotField showAll="0">
      <items count="53">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m="1" x="51"/>
        <item h="1" x="44"/>
        <item h="1" x="45"/>
        <item h="1" x="46"/>
        <item h="1" x="47"/>
        <item h="1" x="48"/>
        <item h="1" x="49"/>
        <item h="1" x="50"/>
        <item t="default"/>
      </items>
    </pivotField>
    <pivotField showAll="0"/>
    <pivotField showAll="0"/>
    <pivotField showAll="0"/>
    <pivotField showAll="0"/>
    <pivotField showAll="0"/>
    <pivotField showAll="0"/>
    <pivotField showAll="0"/>
    <pivotField numFmtId="6" showAll="0"/>
    <pivotField axis="axisRow" showAll="0">
      <items count="4">
        <item x="0"/>
        <item x="1"/>
        <item m="1" x="2"/>
        <item t="default"/>
      </items>
    </pivotField>
    <pivotField showAll="0"/>
    <pivotField showAll="0"/>
    <pivotField showAll="0"/>
    <pivotField dataField="1" showAll="0"/>
  </pivotFields>
  <rowFields count="1">
    <field x="9"/>
  </rowFields>
  <rowItems count="3">
    <i>
      <x/>
    </i>
    <i>
      <x v="1"/>
    </i>
    <i t="grand">
      <x/>
    </i>
  </rowItems>
  <colItems count="1">
    <i/>
  </colItems>
  <dataFields count="1">
    <dataField name="Average of Medicare Enrollment (2016)" fld="13" subtotal="average" baseField="0" baseItem="0"/>
  </dataFields>
  <chartFormats count="3">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192E0-E422-4ED0-8EE1-01364B32C5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12" firstHeaderRow="1" firstDataRow="1" firstDataCol="1"/>
  <pivotFields count="14">
    <pivotField axis="axisRow" showAll="0" measureFilter="1" sortType="de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numFmtId="6" showAll="0"/>
    <pivotField showAll="0">
      <items count="4">
        <item x="0"/>
        <item x="1"/>
        <item m="1" x="2"/>
        <item t="default"/>
      </items>
    </pivotField>
    <pivotField showAll="0"/>
    <pivotField showAll="0"/>
    <pivotField showAll="0"/>
    <pivotField showAll="0"/>
  </pivotFields>
  <rowFields count="1">
    <field x="0"/>
  </rowFields>
  <rowItems count="11">
    <i>
      <x v="48"/>
    </i>
    <i>
      <x v="5"/>
    </i>
    <i>
      <x v="3"/>
    </i>
    <i>
      <x v="9"/>
    </i>
    <i>
      <x v="49"/>
    </i>
    <i>
      <x v="31"/>
    </i>
    <i>
      <x v="17"/>
    </i>
    <i>
      <x v="4"/>
    </i>
    <i>
      <x v="37"/>
    </i>
    <i>
      <x v="28"/>
    </i>
    <i t="grand">
      <x/>
    </i>
  </rowItems>
  <colItems count="1">
    <i/>
  </colItems>
  <dataFields count="1">
    <dataField name="Average of Uninsured Rate Change (2010-2015)" fld="3" subtotal="average" baseField="0" baseItem="6"/>
  </dataFields>
  <formats count="6">
    <format dxfId="593">
      <pivotArea type="all" dataOnly="0" outline="0" fieldPosition="0"/>
    </format>
    <format dxfId="592">
      <pivotArea outline="0" collapsedLevelsAreSubtotals="1" fieldPosition="0"/>
    </format>
    <format dxfId="591">
      <pivotArea field="0" type="button" dataOnly="0" labelOnly="1" outline="0" axis="axisRow" fieldPosition="0"/>
    </format>
    <format dxfId="590">
      <pivotArea dataOnly="0" labelOnly="1" fieldPosition="0">
        <references count="1">
          <reference field="0" count="12">
            <x v="6"/>
            <x v="7"/>
            <x v="8"/>
            <x v="19"/>
            <x v="21"/>
            <x v="25"/>
            <x v="27"/>
            <x v="34"/>
            <x v="38"/>
            <x v="41"/>
            <x v="50"/>
            <x v="51"/>
          </reference>
        </references>
      </pivotArea>
    </format>
    <format dxfId="589">
      <pivotArea dataOnly="0" labelOnly="1" grandRow="1" outline="0" fieldPosition="0"/>
    </format>
    <format dxfId="588">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29FD1D-EE35-4943-8727-DEB2F4A146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showAll="0"/>
    <pivotField showAll="0"/>
    <pivotField showAll="0"/>
    <pivotField showAll="0"/>
    <pivotField showAll="0"/>
    <pivotField showAll="0"/>
    <pivotField numFmtId="6" showAll="0"/>
    <pivotField showAll="0">
      <items count="4">
        <item x="0"/>
        <item x="1"/>
        <item m="1" x="2"/>
        <item t="default"/>
      </items>
    </pivotField>
    <pivotField showAll="0"/>
    <pivotField showAll="0"/>
    <pivotField dataField="1" showAll="0"/>
    <pivotField showAll="0"/>
  </pivotFields>
  <rowItems count="1">
    <i/>
  </rowItems>
  <colItems count="1">
    <i/>
  </colItems>
  <dataFields count="1">
    <dataField name="Sum of Medicaid Enrollment Change (2013-2016)" fld="12" baseField="0" baseItem="0"/>
  </dataFields>
  <formats count="3">
    <format dxfId="574">
      <pivotArea type="all" dataOnly="0" outline="0" fieldPosition="0"/>
    </format>
    <format dxfId="573">
      <pivotArea outline="0" collapsedLevelsAreSubtotals="1" fieldPosition="0"/>
    </format>
    <format dxfId="5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CB76F5-7013-425E-AA74-574A8BBD49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showAll="0"/>
    <pivotField showAll="0"/>
    <pivotField showAll="0"/>
    <pivotField showAll="0"/>
    <pivotField showAll="0"/>
    <pivotField showAll="0"/>
    <pivotField dataField="1" numFmtId="6" showAll="0"/>
    <pivotField showAll="0">
      <items count="4">
        <item x="0"/>
        <item x="1"/>
        <item m="1" x="2"/>
        <item t="default"/>
      </items>
    </pivotField>
    <pivotField showAll="0"/>
    <pivotField showAll="0"/>
    <pivotField showAll="0"/>
    <pivotField showAll="0"/>
  </pivotFields>
  <rowItems count="1">
    <i/>
  </rowItems>
  <colItems count="1">
    <i/>
  </colItems>
  <dataFields count="1">
    <dataField name="Max of Average Monthly Tax Credit (2016)" fld="8" subtotal="max" baseField="0" baseItem="0" numFmtId="44"/>
  </dataFields>
  <formats count="3">
    <format dxfId="577">
      <pivotArea type="all" dataOnly="0" outline="0" fieldPosition="0"/>
    </format>
    <format dxfId="576">
      <pivotArea outline="0" collapsedLevelsAreSubtotals="1" fieldPosition="0"/>
    </format>
    <format dxfId="5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5F2115-BEED-4DAC-9CDF-822F91B3FB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showAll="0"/>
    <pivotField showAll="0"/>
    <pivotField showAll="0"/>
    <pivotField showAll="0"/>
    <pivotField showAll="0"/>
    <pivotField showAll="0"/>
    <pivotField dataField="1" numFmtId="6" showAll="0"/>
    <pivotField showAll="0">
      <items count="4">
        <item x="0"/>
        <item x="1"/>
        <item m="1" x="2"/>
        <item t="default"/>
      </items>
    </pivotField>
    <pivotField showAll="0"/>
    <pivotField showAll="0"/>
    <pivotField showAll="0"/>
    <pivotField showAll="0"/>
  </pivotFields>
  <rowItems count="1">
    <i/>
  </rowItems>
  <colItems count="1">
    <i/>
  </colItems>
  <dataFields count="1">
    <dataField name="Average of Average Monthly Tax Credit (2016)" fld="8" subtotal="average" baseField="0" baseItem="0" numFmtId="44"/>
  </dataFields>
  <formats count="3">
    <format dxfId="580">
      <pivotArea type="all" dataOnly="0" outline="0" fieldPosition="0"/>
    </format>
    <format dxfId="579">
      <pivotArea outline="0" collapsedLevelsAreSubtotals="1" fieldPosition="0"/>
    </format>
    <format dxfId="5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41CF4F-E90F-4C1E-8083-2A7470F7A8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showAll="0"/>
    <pivotField dataField="1" showAll="0"/>
    <pivotField showAll="0"/>
    <pivotField showAll="0"/>
    <pivotField showAll="0"/>
    <pivotField showAll="0"/>
    <pivotField numFmtId="6" showAll="0"/>
    <pivotField showAll="0">
      <items count="4">
        <item x="0"/>
        <item x="1"/>
        <item m="1" x="2"/>
        <item t="default"/>
      </items>
    </pivotField>
    <pivotField showAll="0"/>
    <pivotField showAll="0"/>
    <pivotField showAll="0"/>
    <pivotField showAll="0"/>
  </pivotFields>
  <rowItems count="1">
    <i/>
  </rowItems>
  <colItems count="1">
    <i/>
  </colItems>
  <dataFields count="1">
    <dataField name="Average of Uninsured Rate Change (2010-2015)" fld="3" subtotal="average" baseField="0" baseItem="0"/>
  </dataFields>
  <formats count="2">
    <format dxfId="582">
      <pivotArea dataOnly="0" labelOnly="1" outline="0" axis="axisValues" fieldPosition="0"/>
    </format>
    <format dxfId="5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9DED58-AC50-4BF8-83CC-FC4D7F2A15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C15"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showAll="0"/>
    <pivotField showAll="0"/>
    <pivotField showAll="0"/>
    <pivotField showAll="0"/>
    <pivotField showAll="0"/>
    <pivotField showAll="0"/>
    <pivotField numFmtId="6" showAll="0"/>
    <pivotField showAll="0">
      <items count="4">
        <item x="0"/>
        <item x="1"/>
        <item m="1" x="2"/>
        <item t="default"/>
      </items>
    </pivotField>
    <pivotField dataField="1" showAll="0"/>
    <pivotField showAll="0"/>
    <pivotField showAll="0"/>
    <pivotField showAll="0"/>
  </pivotFields>
  <rowItems count="1">
    <i/>
  </rowItems>
  <colItems count="1">
    <i/>
  </colItems>
  <dataFields count="1">
    <dataField name="Sum of Medicaid Enrollment (2013)" fld="10" baseField="0" baseItem="0"/>
  </dataFields>
  <formats count="3">
    <format dxfId="585">
      <pivotArea type="all" dataOnly="0" outline="0" fieldPosition="0"/>
    </format>
    <format dxfId="584">
      <pivotArea outline="0" collapsedLevelsAreSubtotals="1" fieldPosition="0"/>
    </format>
    <format dxfId="5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D24B81-E20F-41C2-A29D-53FFA6DBED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51"/>
        <item x="44"/>
        <item x="45"/>
        <item x="46"/>
        <item x="47"/>
        <item x="48"/>
        <item x="49"/>
        <item x="50"/>
        <item t="default"/>
      </items>
    </pivotField>
    <pivotField showAll="0"/>
    <pivotField dataField="1" showAll="0"/>
    <pivotField showAll="0"/>
    <pivotField showAll="0"/>
    <pivotField showAll="0"/>
    <pivotField showAll="0"/>
    <pivotField showAll="0"/>
    <pivotField numFmtId="6" showAll="0"/>
    <pivotField showAll="0">
      <items count="4">
        <item x="0"/>
        <item x="1"/>
        <item m="1" x="2"/>
        <item t="default"/>
      </items>
    </pivotField>
    <pivotField showAll="0"/>
    <pivotField showAll="0"/>
    <pivotField showAll="0"/>
    <pivotField showAll="0"/>
  </pivotFields>
  <rowItems count="1">
    <i/>
  </rowItems>
  <colItems count="1">
    <i/>
  </colItems>
  <dataFields count="1">
    <dataField name="Average of Uninsured Rate (2015)" fld="2" subtotal="average" baseField="0" baseItem="0" numFmtId="10"/>
  </dataFields>
  <formats count="2">
    <format dxfId="587">
      <pivotArea dataOnly="0" labelOnly="1" outline="0" axis="axisValues" fieldPosition="0"/>
    </format>
    <format dxfId="5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Medicaid_Expansion__2016" xr10:uid="{FCABEAF2-7472-464A-8C5A-7851E5E20CBC}" sourceName="State Medicaid Expansion (2016)">
  <pivotTables>
    <pivotTable tabId="12" name="PivotTable1"/>
    <pivotTable tabId="10" name="PivotTable15"/>
    <pivotTable tabId="11" name="PivotTable16"/>
    <pivotTable tabId="11" name="PivotTable17"/>
    <pivotTable tabId="5" name="PivotTable9"/>
    <pivotTable tabId="6" name="PivotTable10"/>
    <pivotTable tabId="9" name="PivotTable14"/>
    <pivotTable tabId="4" name="PivotTable8"/>
    <pivotTable tabId="14" name="PivotTable1"/>
    <pivotTable tabId="14" name="PivotTable2"/>
    <pivotTable tabId="14" name="PivotTable3"/>
    <pivotTable tabId="14" name="PivotTable4"/>
    <pivotTable tabId="14" name="PivotTable5"/>
    <pivotTable tabId="14" name="PivotTable6"/>
  </pivotTables>
  <data>
    <tabular pivotCacheId="176297997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5B3E0FB-5CB7-4B5D-8B4C-4C699757538F}" sourceName="State">
  <pivotTables>
    <pivotTable tabId="14" name="PivotTable1"/>
    <pivotTable tabId="14" name="PivotTable2"/>
    <pivotTable tabId="14" name="PivotTable3"/>
    <pivotTable tabId="14" name="PivotTable4"/>
    <pivotTable tabId="14" name="PivotTable5"/>
    <pivotTable tabId="14" name="PivotTable6"/>
  </pivotTables>
  <data>
    <tabular pivotCacheId="1762979971">
      <items count="5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Medicaid Expansion (2016)" xr10:uid="{13635BDE-5942-47EC-9F82-65568FB918BE}" cache="Slicer_State_Medicaid_Expansion__2016" caption="State Medicaid Expansion (2016)" rowHeight="257175"/>
  <slicer name="State" xr10:uid="{CBD00629-68C3-4C7A-A9EF-86E78F7B7149}" cache="Slicer_State" caption="State" startItem="38"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EF6F8-8E99-495A-80C7-C46B3C133060}" name="Health_insurance" displayName="Health_insurance" ref="A1:N52" totalsRowShown="0">
  <autoFilter ref="A1:N52" xr:uid="{35EEF6F8-8E99-495A-80C7-C46B3C133060}"/>
  <tableColumns count="14">
    <tableColumn id="1" xr3:uid="{26BF4627-0AE0-457B-B655-05ECFAB9EBFB}" name="State"/>
    <tableColumn id="2" xr3:uid="{36773AAB-7BFE-4D76-AAD7-F66B335F7FE9}" name="Uninsured Rate (2010)" dataDxfId="597"/>
    <tableColumn id="3" xr3:uid="{A3D3041B-F55F-4077-8A8E-485D4CC17845}" name="Uninsured Rate (2015)" dataDxfId="596"/>
    <tableColumn id="4" xr3:uid="{6666AB58-2844-4730-AEB9-2C2774F96D43}" name="Uninsured Rate Change (2010-2015)" dataDxfId="595"/>
    <tableColumn id="5" xr3:uid="{CA05555B-0506-4E13-A273-FCA2F2A8204E}" name="Health Insurance Coverage Change (2010-2015)"/>
    <tableColumn id="6" xr3:uid="{1A110F32-43BB-48A0-9799-D46E25AFAB8F}" name="Employer Health Insurance Coverage (2015)"/>
    <tableColumn id="7" xr3:uid="{DB497037-7B5C-4D28-8725-00D43C4C9AD3}" name="Marketplace Health Insurance Coverage (2016)"/>
    <tableColumn id="8" xr3:uid="{CF6847C5-D92E-4109-A462-94FB1BA8FA60}" name="Marketplace Tax Credits (2016)"/>
    <tableColumn id="9" xr3:uid="{D0C6D680-8CEA-4E0A-8194-34DE18532DDC}" name="Average Monthly Tax Credit (2016)" dataDxfId="594"/>
    <tableColumn id="10" xr3:uid="{9D81AC63-5800-4E80-926F-4581416699C3}" name="State Medicaid Expansion (2016)"/>
    <tableColumn id="11" xr3:uid="{E428B3E7-F986-4207-B306-650A539CC2FD}" name="Medicaid Enrollment (2013)"/>
    <tableColumn id="12" xr3:uid="{99A16FF8-414C-468A-A5C8-A5F697C39024}" name="Medicaid Enrollment (2016)"/>
    <tableColumn id="13" xr3:uid="{EB383FF1-0365-4EFF-AFD0-BC0ED59256B1}" name="Medicaid Enrollment Change (2013-2016)"/>
    <tableColumn id="14" xr3:uid="{AB9B315C-758D-41F2-B553-0825B923BD76}" name="Medicare Enrollment (20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9E2E-43C9-4C05-847F-6403F6F1F5E5}">
  <dimension ref="A1:C12"/>
  <sheetViews>
    <sheetView workbookViewId="0">
      <selection activeCell="B1" sqref="B1"/>
    </sheetView>
  </sheetViews>
  <sheetFormatPr defaultRowHeight="15" x14ac:dyDescent="0.25"/>
  <cols>
    <col min="1" max="1" width="13.42578125" bestFit="1" customWidth="1"/>
    <col min="2" max="4" width="31.28515625" bestFit="1" customWidth="1"/>
    <col min="5" max="52" width="19.42578125" bestFit="1" customWidth="1"/>
    <col min="53" max="53" width="11.28515625" bestFit="1" customWidth="1"/>
  </cols>
  <sheetData>
    <row r="1" spans="1:3" x14ac:dyDescent="0.25">
      <c r="A1" s="7" t="s">
        <v>68</v>
      </c>
      <c r="B1" s="1" t="s">
        <v>72</v>
      </c>
      <c r="C1" s="1" t="s">
        <v>73</v>
      </c>
    </row>
    <row r="2" spans="1:3" x14ac:dyDescent="0.25">
      <c r="A2" s="8" t="s">
        <v>15</v>
      </c>
      <c r="B2" s="1">
        <v>0.19900000000000001</v>
      </c>
      <c r="C2" s="1">
        <v>0.14899999999999999</v>
      </c>
    </row>
    <row r="3" spans="1:3" x14ac:dyDescent="0.25">
      <c r="A3" s="8" t="s">
        <v>23</v>
      </c>
      <c r="B3" s="1">
        <v>0.21299999999999999</v>
      </c>
      <c r="C3" s="1">
        <v>0.13300000000000001</v>
      </c>
    </row>
    <row r="4" spans="1:3" x14ac:dyDescent="0.25">
      <c r="A4" s="8" t="s">
        <v>24</v>
      </c>
      <c r="B4" s="1">
        <v>0.19700000000000001</v>
      </c>
      <c r="C4" s="1">
        <v>0.13900000000000001</v>
      </c>
    </row>
    <row r="5" spans="1:3" x14ac:dyDescent="0.25">
      <c r="A5" s="8" t="s">
        <v>32</v>
      </c>
      <c r="B5" s="1">
        <v>0.17799999999999999</v>
      </c>
      <c r="C5" s="1">
        <v>0.11899999999999999</v>
      </c>
    </row>
    <row r="6" spans="1:3" x14ac:dyDescent="0.25">
      <c r="A6" s="8" t="s">
        <v>38</v>
      </c>
      <c r="B6" s="1">
        <v>0.182</v>
      </c>
      <c r="C6" s="1">
        <v>0.127</v>
      </c>
    </row>
    <row r="7" spans="1:3" x14ac:dyDescent="0.25">
      <c r="A7" s="8" t="s">
        <v>40</v>
      </c>
      <c r="B7" s="1">
        <v>0.17299999999999999</v>
      </c>
      <c r="C7" s="1">
        <v>0.11600000000000001</v>
      </c>
    </row>
    <row r="8" spans="1:3" x14ac:dyDescent="0.25">
      <c r="A8" s="8" t="s">
        <v>42</v>
      </c>
      <c r="B8" s="1">
        <v>0.22600000000000001</v>
      </c>
      <c r="C8" s="1">
        <v>0.123</v>
      </c>
    </row>
    <row r="9" spans="1:3" x14ac:dyDescent="0.25">
      <c r="A9" s="8" t="s">
        <v>50</v>
      </c>
      <c r="B9" s="1">
        <v>0.189</v>
      </c>
      <c r="C9" s="1">
        <v>0.13900000000000001</v>
      </c>
    </row>
    <row r="10" spans="1:3" x14ac:dyDescent="0.25">
      <c r="A10" s="8" t="s">
        <v>57</v>
      </c>
      <c r="B10" s="1">
        <v>0.23699999999999999</v>
      </c>
      <c r="C10" s="1">
        <v>0.17100000000000001</v>
      </c>
    </row>
    <row r="11" spans="1:3" x14ac:dyDescent="0.25">
      <c r="A11" s="8" t="s">
        <v>64</v>
      </c>
      <c r="B11" s="1">
        <v>0.14899999999999999</v>
      </c>
      <c r="C11" s="1">
        <v>0.115</v>
      </c>
    </row>
    <row r="12" spans="1:3" x14ac:dyDescent="0.25">
      <c r="A12" s="8" t="s">
        <v>69</v>
      </c>
      <c r="B12" s="1">
        <v>0.1943</v>
      </c>
      <c r="C12" s="1">
        <v>0.1331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8B0F-8E45-4F7C-A326-7D7D43A581F7}">
  <dimension ref="A1:B4"/>
  <sheetViews>
    <sheetView workbookViewId="0">
      <selection activeCell="I17" sqref="I17"/>
    </sheetView>
  </sheetViews>
  <sheetFormatPr defaultRowHeight="15" x14ac:dyDescent="0.25"/>
  <cols>
    <col min="1" max="1" width="13.42578125" bestFit="1" customWidth="1"/>
    <col min="2" max="2" width="43.7109375" bestFit="1" customWidth="1"/>
  </cols>
  <sheetData>
    <row r="1" spans="1:2" x14ac:dyDescent="0.25">
      <c r="A1" s="7" t="s">
        <v>68</v>
      </c>
      <c r="B1" s="1" t="s">
        <v>65</v>
      </c>
    </row>
    <row r="2" spans="1:2" x14ac:dyDescent="0.25">
      <c r="A2" s="8" t="s">
        <v>78</v>
      </c>
      <c r="B2" s="1">
        <v>-4.7210526315789481E-2</v>
      </c>
    </row>
    <row r="3" spans="1:2" x14ac:dyDescent="0.25">
      <c r="A3" s="8" t="s">
        <v>74</v>
      </c>
      <c r="B3" s="1">
        <v>-5.856250000000001E-2</v>
      </c>
    </row>
    <row r="4" spans="1:2" x14ac:dyDescent="0.25">
      <c r="A4" s="8" t="s">
        <v>69</v>
      </c>
      <c r="B4" s="1">
        <v>-5.4333333333333324E-2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DF6C-FA3D-4D1E-94FE-55CF3FD69DA7}">
  <dimension ref="A1:B4"/>
  <sheetViews>
    <sheetView workbookViewId="0">
      <selection sqref="A1:B4"/>
    </sheetView>
  </sheetViews>
  <sheetFormatPr defaultRowHeight="15" x14ac:dyDescent="0.25"/>
  <cols>
    <col min="1" max="1" width="13.42578125" bestFit="1" customWidth="1"/>
    <col min="2" max="2" width="48.5703125" bestFit="1" customWidth="1"/>
  </cols>
  <sheetData>
    <row r="1" spans="1:2" x14ac:dyDescent="0.25">
      <c r="A1" s="12" t="s">
        <v>68</v>
      </c>
      <c r="B1" s="11" t="s">
        <v>75</v>
      </c>
    </row>
    <row r="2" spans="1:2" x14ac:dyDescent="0.25">
      <c r="A2" s="13" t="s">
        <v>78</v>
      </c>
      <c r="B2" s="11">
        <v>144447.66666666666</v>
      </c>
    </row>
    <row r="3" spans="1:2" x14ac:dyDescent="0.25">
      <c r="A3" s="13" t="s">
        <v>74</v>
      </c>
      <c r="B3" s="11">
        <v>435680.61290322582</v>
      </c>
    </row>
    <row r="4" spans="1:2" x14ac:dyDescent="0.25">
      <c r="A4" s="13" t="s">
        <v>69</v>
      </c>
      <c r="B4" s="11">
        <v>328697.08163265308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2859-B370-4A37-B068-8C6FE6155F96}">
  <dimension ref="A3:B14"/>
  <sheetViews>
    <sheetView workbookViewId="0">
      <selection sqref="A1:U40"/>
    </sheetView>
  </sheetViews>
  <sheetFormatPr defaultRowHeight="15" x14ac:dyDescent="0.25"/>
  <cols>
    <col min="1" max="1" width="13.42578125" bestFit="1" customWidth="1"/>
    <col min="2" max="2" width="51.42578125" bestFit="1" customWidth="1"/>
  </cols>
  <sheetData>
    <row r="3" spans="1:2" x14ac:dyDescent="0.25">
      <c r="A3" s="4" t="s">
        <v>68</v>
      </c>
      <c r="B3" t="s">
        <v>76</v>
      </c>
    </row>
    <row r="4" spans="1:2" x14ac:dyDescent="0.25">
      <c r="A4" s="5" t="s">
        <v>24</v>
      </c>
      <c r="B4" s="11">
        <v>5240000</v>
      </c>
    </row>
    <row r="5" spans="1:2" x14ac:dyDescent="0.25">
      <c r="A5" s="5" t="s">
        <v>44</v>
      </c>
      <c r="B5" s="11">
        <v>5450000</v>
      </c>
    </row>
    <row r="6" spans="1:2" x14ac:dyDescent="0.25">
      <c r="A6" s="5" t="s">
        <v>36</v>
      </c>
      <c r="B6" s="11">
        <v>5876000</v>
      </c>
    </row>
    <row r="7" spans="1:2" x14ac:dyDescent="0.25">
      <c r="A7" s="5" t="s">
        <v>49</v>
      </c>
      <c r="B7" s="11">
        <v>6831000</v>
      </c>
    </row>
    <row r="8" spans="1:2" x14ac:dyDescent="0.25">
      <c r="A8" s="5" t="s">
        <v>27</v>
      </c>
      <c r="B8" s="11">
        <v>7359000</v>
      </c>
    </row>
    <row r="9" spans="1:2" x14ac:dyDescent="0.25">
      <c r="A9" s="5" t="s">
        <v>52</v>
      </c>
      <c r="B9" s="11">
        <v>7502000</v>
      </c>
    </row>
    <row r="10" spans="1:2" x14ac:dyDescent="0.25">
      <c r="A10" s="5" t="s">
        <v>23</v>
      </c>
      <c r="B10" s="11">
        <v>8847000</v>
      </c>
    </row>
    <row r="11" spans="1:2" x14ac:dyDescent="0.25">
      <c r="A11" s="5" t="s">
        <v>46</v>
      </c>
      <c r="B11" s="11">
        <v>10895000</v>
      </c>
    </row>
    <row r="12" spans="1:2" x14ac:dyDescent="0.25">
      <c r="A12" s="5" t="s">
        <v>57</v>
      </c>
      <c r="B12" s="11">
        <v>13709000</v>
      </c>
    </row>
    <row r="13" spans="1:2" x14ac:dyDescent="0.25">
      <c r="A13" s="5" t="s">
        <v>18</v>
      </c>
      <c r="B13" s="11">
        <v>19552000</v>
      </c>
    </row>
    <row r="14" spans="1:2" x14ac:dyDescent="0.25">
      <c r="A14" s="5" t="s">
        <v>69</v>
      </c>
      <c r="B14" s="11">
        <v>9126100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B3F8-3749-427E-A8F4-34510C14A1EA}">
  <dimension ref="A1:C12"/>
  <sheetViews>
    <sheetView workbookViewId="0">
      <selection activeCell="B21" sqref="B21:H24"/>
    </sheetView>
  </sheetViews>
  <sheetFormatPr defaultRowHeight="15" x14ac:dyDescent="0.25"/>
  <cols>
    <col min="1" max="1" width="13.42578125" bestFit="1" customWidth="1"/>
    <col min="2" max="2" width="51.42578125" bestFit="1" customWidth="1"/>
    <col min="3" max="3" width="31.28515625" bestFit="1" customWidth="1"/>
    <col min="4" max="4" width="51.42578125" bestFit="1" customWidth="1"/>
    <col min="5" max="5" width="53.85546875" bestFit="1" customWidth="1"/>
    <col min="6" max="6" width="36.140625" bestFit="1" customWidth="1"/>
  </cols>
  <sheetData>
    <row r="1" spans="1:3" x14ac:dyDescent="0.25">
      <c r="A1" s="4" t="s">
        <v>68</v>
      </c>
      <c r="B1" t="s">
        <v>76</v>
      </c>
      <c r="C1" s="3" t="s">
        <v>73</v>
      </c>
    </row>
    <row r="2" spans="1:3" x14ac:dyDescent="0.25">
      <c r="A2" s="5" t="s">
        <v>57</v>
      </c>
      <c r="B2" s="11">
        <v>13709000</v>
      </c>
      <c r="C2" s="3">
        <v>0.17100000000000001</v>
      </c>
    </row>
    <row r="3" spans="1:3" x14ac:dyDescent="0.25">
      <c r="A3" s="5" t="s">
        <v>52</v>
      </c>
      <c r="B3" s="11">
        <v>7502000</v>
      </c>
      <c r="C3" s="3">
        <v>6.4000000000000001E-2</v>
      </c>
    </row>
    <row r="4" spans="1:3" x14ac:dyDescent="0.25">
      <c r="A4" s="5" t="s">
        <v>49</v>
      </c>
      <c r="B4" s="11">
        <v>6831000</v>
      </c>
      <c r="C4" s="3">
        <v>6.5000000000000002E-2</v>
      </c>
    </row>
    <row r="5" spans="1:3" x14ac:dyDescent="0.25">
      <c r="A5" s="5" t="s">
        <v>46</v>
      </c>
      <c r="B5" s="11">
        <v>10895000</v>
      </c>
      <c r="C5" s="3">
        <v>7.0999999999999994E-2</v>
      </c>
    </row>
    <row r="6" spans="1:3" x14ac:dyDescent="0.25">
      <c r="A6" s="5" t="s">
        <v>44</v>
      </c>
      <c r="B6" s="11">
        <v>5450000</v>
      </c>
      <c r="C6" s="3">
        <v>8.6999999999999994E-2</v>
      </c>
    </row>
    <row r="7" spans="1:3" x14ac:dyDescent="0.25">
      <c r="A7" s="5" t="s">
        <v>36</v>
      </c>
      <c r="B7" s="11">
        <v>5876000</v>
      </c>
      <c r="C7" s="3">
        <v>6.0999999999999999E-2</v>
      </c>
    </row>
    <row r="8" spans="1:3" x14ac:dyDescent="0.25">
      <c r="A8" s="5" t="s">
        <v>27</v>
      </c>
      <c r="B8" s="11">
        <v>7359000</v>
      </c>
      <c r="C8" s="3">
        <v>7.0999999999999994E-2</v>
      </c>
    </row>
    <row r="9" spans="1:3" x14ac:dyDescent="0.25">
      <c r="A9" s="5" t="s">
        <v>24</v>
      </c>
      <c r="B9" s="11">
        <v>5240000</v>
      </c>
      <c r="C9" s="3">
        <v>0.13900000000000001</v>
      </c>
    </row>
    <row r="10" spans="1:3" x14ac:dyDescent="0.25">
      <c r="A10" s="5" t="s">
        <v>23</v>
      </c>
      <c r="B10" s="11">
        <v>8847000</v>
      </c>
      <c r="C10" s="3">
        <v>0.13300000000000001</v>
      </c>
    </row>
    <row r="11" spans="1:3" x14ac:dyDescent="0.25">
      <c r="A11" s="5" t="s">
        <v>18</v>
      </c>
      <c r="B11" s="11">
        <v>19552000</v>
      </c>
      <c r="C11" s="3">
        <v>8.5999999999999993E-2</v>
      </c>
    </row>
    <row r="12" spans="1:3" x14ac:dyDescent="0.25">
      <c r="A12" s="5" t="s">
        <v>69</v>
      </c>
      <c r="B12" s="11">
        <v>9126100</v>
      </c>
      <c r="C12" s="3">
        <v>9.4800000000000009E-2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79E1-278C-41A9-AF3F-501EF8251548}">
  <dimension ref="A1:C28"/>
  <sheetViews>
    <sheetView topLeftCell="A26" workbookViewId="0">
      <selection sqref="A1:U40"/>
    </sheetView>
  </sheetViews>
  <sheetFormatPr defaultRowHeight="15" x14ac:dyDescent="0.25"/>
  <cols>
    <col min="1" max="1" width="13.42578125" bestFit="1" customWidth="1"/>
    <col min="2" max="3" width="36.28515625" bestFit="1" customWidth="1"/>
  </cols>
  <sheetData>
    <row r="1" spans="1:3" x14ac:dyDescent="0.25">
      <c r="A1" s="4" t="s">
        <v>68</v>
      </c>
      <c r="B1" s="3" t="s">
        <v>73</v>
      </c>
      <c r="C1" t="s">
        <v>77</v>
      </c>
    </row>
    <row r="2" spans="1:3" x14ac:dyDescent="0.25">
      <c r="A2" s="5" t="s">
        <v>32</v>
      </c>
      <c r="B2" s="3">
        <v>0.11899999999999999</v>
      </c>
      <c r="C2" s="11">
        <v>817272</v>
      </c>
    </row>
    <row r="3" spans="1:3" x14ac:dyDescent="0.25">
      <c r="A3" s="5" t="s">
        <v>69</v>
      </c>
      <c r="B3" s="3">
        <v>0.11899999999999999</v>
      </c>
      <c r="C3" s="11">
        <v>817272</v>
      </c>
    </row>
    <row r="25" spans="1:2" x14ac:dyDescent="0.25">
      <c r="A25" s="4" t="s">
        <v>68</v>
      </c>
      <c r="B25" t="s">
        <v>77</v>
      </c>
    </row>
    <row r="26" spans="1:2" x14ac:dyDescent="0.25">
      <c r="A26" s="5" t="s">
        <v>78</v>
      </c>
      <c r="B26" s="11">
        <v>1131655.0526315789</v>
      </c>
    </row>
    <row r="27" spans="1:2" x14ac:dyDescent="0.25">
      <c r="A27" s="5" t="s">
        <v>74</v>
      </c>
      <c r="B27" s="11">
        <v>1074767.09375</v>
      </c>
    </row>
    <row r="28" spans="1:2" x14ac:dyDescent="0.25">
      <c r="A28" s="5" t="s">
        <v>69</v>
      </c>
      <c r="B28" s="11">
        <v>1095960.6470588236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F4C4-752F-40AB-B2DA-D2DE9744759D}">
  <dimension ref="A1:B12"/>
  <sheetViews>
    <sheetView workbookViewId="0"/>
  </sheetViews>
  <sheetFormatPr defaultRowHeight="15" x14ac:dyDescent="0.25"/>
  <cols>
    <col min="1" max="1" width="13.42578125" bestFit="1" customWidth="1"/>
    <col min="2" max="2" width="43.7109375" bestFit="1" customWidth="1"/>
    <col min="3" max="3" width="42.28515625" bestFit="1" customWidth="1"/>
    <col min="4" max="4" width="53.85546875" bestFit="1" customWidth="1"/>
    <col min="5" max="5" width="42.28515625" bestFit="1" customWidth="1"/>
    <col min="6" max="6" width="59" bestFit="1" customWidth="1"/>
    <col min="7" max="7" width="47.28515625" bestFit="1" customWidth="1"/>
  </cols>
  <sheetData>
    <row r="1" spans="1:2" x14ac:dyDescent="0.25">
      <c r="A1" s="7" t="s">
        <v>68</v>
      </c>
      <c r="B1" s="1" t="s">
        <v>65</v>
      </c>
    </row>
    <row r="2" spans="1:2" x14ac:dyDescent="0.25">
      <c r="A2" s="8" t="s">
        <v>61</v>
      </c>
      <c r="B2" s="1">
        <v>-7.5999999999999998E-2</v>
      </c>
    </row>
    <row r="3" spans="1:2" x14ac:dyDescent="0.25">
      <c r="A3" s="8" t="s">
        <v>19</v>
      </c>
      <c r="B3" s="1">
        <v>-7.8E-2</v>
      </c>
    </row>
    <row r="4" spans="1:2" x14ac:dyDescent="0.25">
      <c r="A4" s="8" t="s">
        <v>17</v>
      </c>
      <c r="B4" s="1">
        <v>-0.08</v>
      </c>
    </row>
    <row r="5" spans="1:2" x14ac:dyDescent="0.25">
      <c r="A5" s="8" t="s">
        <v>23</v>
      </c>
      <c r="B5" s="1">
        <v>-0.08</v>
      </c>
    </row>
    <row r="6" spans="1:2" x14ac:dyDescent="0.25">
      <c r="A6" s="8" t="s">
        <v>62</v>
      </c>
      <c r="B6" s="1">
        <v>-8.5999999999999993E-2</v>
      </c>
    </row>
    <row r="7" spans="1:2" x14ac:dyDescent="0.25">
      <c r="A7" s="8" t="s">
        <v>45</v>
      </c>
      <c r="B7" s="1">
        <v>-8.6999999999999994E-2</v>
      </c>
    </row>
    <row r="8" spans="1:2" x14ac:dyDescent="0.25">
      <c r="A8" s="8" t="s">
        <v>31</v>
      </c>
      <c r="B8" s="1">
        <v>-9.2999999999999999E-2</v>
      </c>
    </row>
    <row r="9" spans="1:2" x14ac:dyDescent="0.25">
      <c r="A9" s="8" t="s">
        <v>18</v>
      </c>
      <c r="B9" s="1">
        <v>-9.9000000000000005E-2</v>
      </c>
    </row>
    <row r="10" spans="1:2" x14ac:dyDescent="0.25">
      <c r="A10" s="8" t="s">
        <v>51</v>
      </c>
      <c r="B10" s="1">
        <v>-0.10100000000000001</v>
      </c>
    </row>
    <row r="11" spans="1:2" x14ac:dyDescent="0.25">
      <c r="A11" s="8" t="s">
        <v>42</v>
      </c>
      <c r="B11" s="1">
        <v>-0.10299999999999999</v>
      </c>
    </row>
    <row r="12" spans="1:2" x14ac:dyDescent="0.25">
      <c r="A12" s="8" t="s">
        <v>69</v>
      </c>
      <c r="B12" s="1">
        <v>-8.829999999999999E-2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FE736-C6D8-487B-92BD-CEC53E46512E}">
  <dimension ref="A1:N52"/>
  <sheetViews>
    <sheetView topLeftCell="I2" workbookViewId="0">
      <selection activeCell="D5" sqref="D5"/>
    </sheetView>
  </sheetViews>
  <sheetFormatPr defaultRowHeight="15" x14ac:dyDescent="0.25"/>
  <cols>
    <col min="2" max="3" width="22.85546875" customWidth="1"/>
    <col min="4" max="4" width="34.85546875" customWidth="1"/>
    <col min="5" max="5" width="45.28515625" customWidth="1"/>
    <col min="6" max="6" width="42.28515625" customWidth="1"/>
    <col min="7" max="7" width="44.7109375" customWidth="1"/>
    <col min="8" max="8" width="30.5703125" customWidth="1"/>
    <col min="9" max="9" width="33.42578125" customWidth="1"/>
    <col min="10" max="10" width="32" customWidth="1"/>
    <col min="11" max="12" width="27.5703125" customWidth="1"/>
    <col min="13" max="13" width="39.5703125" customWidth="1"/>
    <col min="14" max="14" width="27.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0.14599999999999999</v>
      </c>
      <c r="C2" s="1">
        <v>0.10100000000000001</v>
      </c>
      <c r="D2" s="1">
        <v>-4.4999999999999998E-2</v>
      </c>
      <c r="E2">
        <v>215000</v>
      </c>
      <c r="F2">
        <v>2545000</v>
      </c>
      <c r="G2">
        <v>165534</v>
      </c>
      <c r="H2">
        <v>152206</v>
      </c>
      <c r="I2" s="2">
        <v>310</v>
      </c>
      <c r="J2" t="b">
        <v>0</v>
      </c>
      <c r="K2">
        <v>799176</v>
      </c>
      <c r="L2">
        <v>910775</v>
      </c>
      <c r="M2">
        <v>111599</v>
      </c>
      <c r="N2">
        <v>989855</v>
      </c>
    </row>
    <row r="3" spans="1:14" x14ac:dyDescent="0.25">
      <c r="A3" t="s">
        <v>15</v>
      </c>
      <c r="B3" s="1">
        <v>0.19900000000000001</v>
      </c>
      <c r="C3" s="1">
        <v>0.14899999999999999</v>
      </c>
      <c r="D3" s="3">
        <v>-0.05</v>
      </c>
      <c r="E3">
        <v>36000</v>
      </c>
      <c r="F3">
        <v>390000</v>
      </c>
      <c r="G3">
        <v>17995</v>
      </c>
      <c r="H3">
        <v>16205</v>
      </c>
      <c r="I3" s="2">
        <v>750</v>
      </c>
      <c r="J3" t="b">
        <v>1</v>
      </c>
      <c r="K3">
        <v>122334</v>
      </c>
      <c r="L3">
        <v>166625</v>
      </c>
      <c r="M3">
        <v>44291</v>
      </c>
      <c r="N3">
        <v>88966</v>
      </c>
    </row>
    <row r="4" spans="1:14" x14ac:dyDescent="0.25">
      <c r="A4" t="s">
        <v>16</v>
      </c>
      <c r="B4" s="1">
        <v>0.16900000000000001</v>
      </c>
      <c r="C4" s="1">
        <v>0.108</v>
      </c>
      <c r="D4" s="1">
        <v>-6.0999999999999999E-2</v>
      </c>
      <c r="E4">
        <v>410000</v>
      </c>
      <c r="F4">
        <v>3288000</v>
      </c>
      <c r="G4">
        <v>179445</v>
      </c>
      <c r="H4">
        <v>124346</v>
      </c>
      <c r="I4" s="2">
        <v>230</v>
      </c>
      <c r="J4" t="b">
        <v>1</v>
      </c>
      <c r="K4">
        <v>1201770</v>
      </c>
      <c r="L4">
        <v>1716198</v>
      </c>
      <c r="M4">
        <v>514428</v>
      </c>
      <c r="N4">
        <v>1175624</v>
      </c>
    </row>
    <row r="5" spans="1:14" x14ac:dyDescent="0.25">
      <c r="A5" t="s">
        <v>17</v>
      </c>
      <c r="B5" s="1">
        <v>0.17499999999999999</v>
      </c>
      <c r="C5" s="1">
        <v>9.5000000000000001E-2</v>
      </c>
      <c r="D5" s="3">
        <v>-0.08</v>
      </c>
      <c r="E5">
        <v>234000</v>
      </c>
      <c r="F5">
        <v>1365000</v>
      </c>
      <c r="G5">
        <v>63357</v>
      </c>
      <c r="H5">
        <v>56843</v>
      </c>
      <c r="I5" s="2">
        <v>306</v>
      </c>
      <c r="J5" t="b">
        <v>1</v>
      </c>
      <c r="K5">
        <v>556851</v>
      </c>
      <c r="L5">
        <v>920194</v>
      </c>
      <c r="M5">
        <v>363343</v>
      </c>
      <c r="N5">
        <v>606146</v>
      </c>
    </row>
    <row r="6" spans="1:14" x14ac:dyDescent="0.25">
      <c r="A6" t="s">
        <v>18</v>
      </c>
      <c r="B6" s="1">
        <v>0.185</v>
      </c>
      <c r="C6" s="1">
        <v>8.5999999999999993E-2</v>
      </c>
      <c r="D6" s="1">
        <v>-9.9000000000000005E-2</v>
      </c>
      <c r="E6">
        <v>3826000</v>
      </c>
      <c r="F6">
        <v>19552000</v>
      </c>
      <c r="G6">
        <v>1415428</v>
      </c>
      <c r="H6">
        <v>1239893</v>
      </c>
      <c r="I6" s="2">
        <v>309</v>
      </c>
      <c r="J6" t="b">
        <v>1</v>
      </c>
      <c r="K6">
        <v>7755381</v>
      </c>
      <c r="L6">
        <v>11843081</v>
      </c>
      <c r="M6">
        <v>4087700</v>
      </c>
      <c r="N6">
        <v>5829777</v>
      </c>
    </row>
    <row r="7" spans="1:14" x14ac:dyDescent="0.25">
      <c r="A7" t="s">
        <v>19</v>
      </c>
      <c r="B7" s="1">
        <v>0.159</v>
      </c>
      <c r="C7" s="1">
        <v>8.1000000000000003E-2</v>
      </c>
      <c r="D7" s="1">
        <v>-7.8E-2</v>
      </c>
      <c r="E7">
        <v>419000</v>
      </c>
      <c r="F7">
        <v>2949000</v>
      </c>
      <c r="G7">
        <v>108311</v>
      </c>
      <c r="H7">
        <v>67062</v>
      </c>
      <c r="I7" s="2">
        <v>318</v>
      </c>
      <c r="J7" t="b">
        <v>1</v>
      </c>
      <c r="K7">
        <v>783420</v>
      </c>
      <c r="L7">
        <v>1375264</v>
      </c>
      <c r="M7">
        <v>591844</v>
      </c>
      <c r="N7">
        <v>820234</v>
      </c>
    </row>
    <row r="8" spans="1:14" x14ac:dyDescent="0.25">
      <c r="A8" t="s">
        <v>20</v>
      </c>
      <c r="B8" s="1">
        <v>9.0999999999999998E-2</v>
      </c>
      <c r="C8" s="3">
        <v>0.06</v>
      </c>
      <c r="D8" s="1">
        <v>-3.1E-2</v>
      </c>
      <c r="E8">
        <v>110000</v>
      </c>
      <c r="F8">
        <v>2148000</v>
      </c>
      <c r="G8">
        <v>102917</v>
      </c>
      <c r="H8">
        <v>80759</v>
      </c>
      <c r="I8" s="2">
        <v>357</v>
      </c>
      <c r="J8" t="b">
        <v>1</v>
      </c>
      <c r="L8">
        <v>761137</v>
      </c>
      <c r="N8">
        <v>644136</v>
      </c>
    </row>
    <row r="9" spans="1:14" x14ac:dyDescent="0.25">
      <c r="A9" t="s">
        <v>21</v>
      </c>
      <c r="B9" s="1">
        <v>9.7000000000000003E-2</v>
      </c>
      <c r="C9" s="1">
        <v>5.8999999999999997E-2</v>
      </c>
      <c r="D9" s="1">
        <v>-3.7999999999999999E-2</v>
      </c>
      <c r="E9">
        <v>35000</v>
      </c>
      <c r="F9">
        <v>564000</v>
      </c>
      <c r="G9">
        <v>25379</v>
      </c>
      <c r="H9">
        <v>21467</v>
      </c>
      <c r="I9" s="2">
        <v>330</v>
      </c>
      <c r="J9" t="b">
        <v>1</v>
      </c>
      <c r="K9">
        <v>223324</v>
      </c>
      <c r="L9">
        <v>236702</v>
      </c>
      <c r="M9">
        <v>13378</v>
      </c>
      <c r="N9">
        <v>186835</v>
      </c>
    </row>
    <row r="10" spans="1:14" x14ac:dyDescent="0.25">
      <c r="A10" t="s">
        <v>22</v>
      </c>
      <c r="B10" s="1">
        <v>7.5999999999999998E-2</v>
      </c>
      <c r="C10" s="1">
        <v>3.7999999999999999E-2</v>
      </c>
      <c r="D10" s="1">
        <v>-3.7999999999999999E-2</v>
      </c>
      <c r="E10">
        <v>25000</v>
      </c>
      <c r="F10">
        <v>388000</v>
      </c>
      <c r="G10">
        <v>17666</v>
      </c>
      <c r="H10">
        <v>1224</v>
      </c>
      <c r="I10" s="2">
        <v>183</v>
      </c>
      <c r="J10" t="b">
        <v>1</v>
      </c>
      <c r="K10">
        <v>235786</v>
      </c>
      <c r="L10">
        <v>255491</v>
      </c>
      <c r="M10">
        <v>19705</v>
      </c>
      <c r="N10">
        <v>90492</v>
      </c>
    </row>
    <row r="11" spans="1:14" x14ac:dyDescent="0.25">
      <c r="A11" t="s">
        <v>23</v>
      </c>
      <c r="B11" s="1">
        <v>0.21299999999999999</v>
      </c>
      <c r="C11" s="1">
        <v>0.13300000000000001</v>
      </c>
      <c r="D11" s="3">
        <v>-0.08</v>
      </c>
      <c r="E11">
        <v>1597000</v>
      </c>
      <c r="F11">
        <v>8847000</v>
      </c>
      <c r="G11">
        <v>1531714</v>
      </c>
      <c r="H11">
        <v>1428712</v>
      </c>
      <c r="I11" s="2">
        <v>305</v>
      </c>
      <c r="J11" t="b">
        <v>0</v>
      </c>
      <c r="K11">
        <v>3104996</v>
      </c>
      <c r="L11">
        <v>3644673</v>
      </c>
      <c r="M11">
        <v>539677</v>
      </c>
      <c r="N11">
        <v>4149593</v>
      </c>
    </row>
    <row r="12" spans="1:14" x14ac:dyDescent="0.25">
      <c r="A12" t="s">
        <v>24</v>
      </c>
      <c r="B12" s="1">
        <v>0.19700000000000001</v>
      </c>
      <c r="C12" s="1">
        <v>0.13900000000000001</v>
      </c>
      <c r="D12" s="1">
        <v>-5.8000000000000003E-2</v>
      </c>
      <c r="E12">
        <v>581000</v>
      </c>
      <c r="F12">
        <v>5240000</v>
      </c>
      <c r="G12">
        <v>478016</v>
      </c>
      <c r="H12">
        <v>427353</v>
      </c>
      <c r="I12" s="2">
        <v>291</v>
      </c>
      <c r="J12" t="b">
        <v>0</v>
      </c>
      <c r="K12">
        <v>1535090</v>
      </c>
      <c r="L12">
        <v>1782301</v>
      </c>
      <c r="M12">
        <v>247211</v>
      </c>
      <c r="N12">
        <v>1574058</v>
      </c>
    </row>
    <row r="13" spans="1:14" x14ac:dyDescent="0.25">
      <c r="A13" t="s">
        <v>25</v>
      </c>
      <c r="B13" s="1">
        <v>7.9000000000000001E-2</v>
      </c>
      <c r="C13" s="3">
        <v>0.04</v>
      </c>
      <c r="D13" s="1">
        <v>-3.9E-2</v>
      </c>
      <c r="E13">
        <v>54000</v>
      </c>
      <c r="F13">
        <v>867000</v>
      </c>
      <c r="G13">
        <v>13313</v>
      </c>
      <c r="H13">
        <v>10958</v>
      </c>
      <c r="I13" s="2">
        <v>270</v>
      </c>
      <c r="J13" t="b">
        <v>1</v>
      </c>
      <c r="K13">
        <v>288357</v>
      </c>
      <c r="L13">
        <v>341200</v>
      </c>
      <c r="M13">
        <v>52843</v>
      </c>
      <c r="N13">
        <v>252514</v>
      </c>
    </row>
    <row r="14" spans="1:14" x14ac:dyDescent="0.25">
      <c r="A14" t="s">
        <v>26</v>
      </c>
      <c r="B14" s="1">
        <v>0.17699999999999999</v>
      </c>
      <c r="C14" s="3">
        <v>0.11</v>
      </c>
      <c r="D14" s="1">
        <v>-6.7000000000000004E-2</v>
      </c>
      <c r="E14">
        <v>109000</v>
      </c>
      <c r="F14">
        <v>836000</v>
      </c>
      <c r="G14">
        <v>94270</v>
      </c>
      <c r="H14">
        <v>82802</v>
      </c>
      <c r="I14" s="2">
        <v>265</v>
      </c>
      <c r="J14" t="b">
        <v>0</v>
      </c>
      <c r="K14">
        <v>238150</v>
      </c>
      <c r="L14">
        <v>293905</v>
      </c>
      <c r="M14">
        <v>55755</v>
      </c>
      <c r="N14">
        <v>294284</v>
      </c>
    </row>
    <row r="15" spans="1:14" x14ac:dyDescent="0.25">
      <c r="A15" t="s">
        <v>27</v>
      </c>
      <c r="B15" s="1">
        <v>0.13800000000000001</v>
      </c>
      <c r="C15" s="1">
        <v>7.0999999999999994E-2</v>
      </c>
      <c r="D15" s="1">
        <v>-6.7000000000000004E-2</v>
      </c>
      <c r="E15">
        <v>850000</v>
      </c>
      <c r="F15">
        <v>7359000</v>
      </c>
      <c r="G15">
        <v>335243</v>
      </c>
      <c r="H15">
        <v>259701</v>
      </c>
      <c r="I15" s="2">
        <v>237</v>
      </c>
      <c r="J15" t="b">
        <v>1</v>
      </c>
      <c r="K15">
        <v>2626943</v>
      </c>
      <c r="L15">
        <v>3117939</v>
      </c>
      <c r="M15">
        <v>490996</v>
      </c>
      <c r="N15">
        <v>2118300</v>
      </c>
    </row>
    <row r="16" spans="1:14" x14ac:dyDescent="0.25">
      <c r="A16" t="s">
        <v>28</v>
      </c>
      <c r="B16" s="1">
        <v>0.14799999999999999</v>
      </c>
      <c r="C16" s="1">
        <v>9.6000000000000002E-2</v>
      </c>
      <c r="D16" s="1">
        <v>-5.1999999999999998E-2</v>
      </c>
      <c r="E16">
        <v>339000</v>
      </c>
      <c r="F16">
        <v>3825000</v>
      </c>
      <c r="G16">
        <v>168884</v>
      </c>
      <c r="H16">
        <v>139437</v>
      </c>
      <c r="I16" s="2">
        <v>259</v>
      </c>
      <c r="J16" t="b">
        <v>1</v>
      </c>
      <c r="K16">
        <v>1120674</v>
      </c>
      <c r="L16">
        <v>1489805</v>
      </c>
      <c r="M16">
        <v>369131</v>
      </c>
      <c r="N16">
        <v>1181014</v>
      </c>
    </row>
    <row r="17" spans="1:14" x14ac:dyDescent="0.25">
      <c r="A17" t="s">
        <v>29</v>
      </c>
      <c r="B17" s="1">
        <v>9.2999999999999999E-2</v>
      </c>
      <c r="C17" s="3">
        <v>0.05</v>
      </c>
      <c r="D17" s="1">
        <v>-4.2999999999999997E-2</v>
      </c>
      <c r="E17">
        <v>132000</v>
      </c>
      <c r="F17">
        <v>1862000</v>
      </c>
      <c r="G17">
        <v>48949</v>
      </c>
      <c r="H17">
        <v>42595</v>
      </c>
      <c r="I17" s="2">
        <v>307</v>
      </c>
      <c r="J17" t="b">
        <v>1</v>
      </c>
      <c r="K17">
        <v>493515</v>
      </c>
      <c r="L17">
        <v>619055</v>
      </c>
      <c r="M17">
        <v>125540</v>
      </c>
      <c r="N17">
        <v>587780</v>
      </c>
    </row>
    <row r="18" spans="1:14" x14ac:dyDescent="0.25">
      <c r="A18" t="s">
        <v>30</v>
      </c>
      <c r="B18" s="1">
        <v>0.13900000000000001</v>
      </c>
      <c r="C18" s="1">
        <v>9.0999999999999998E-2</v>
      </c>
      <c r="D18" s="1">
        <v>-4.8000000000000001E-2</v>
      </c>
      <c r="E18">
        <v>137000</v>
      </c>
      <c r="F18">
        <v>1659000</v>
      </c>
      <c r="G18">
        <v>89566</v>
      </c>
      <c r="H18">
        <v>75815</v>
      </c>
      <c r="I18" s="2">
        <v>247</v>
      </c>
      <c r="J18" t="b">
        <v>0</v>
      </c>
      <c r="K18">
        <v>378160</v>
      </c>
      <c r="L18">
        <v>421638</v>
      </c>
      <c r="M18">
        <v>43478</v>
      </c>
      <c r="N18">
        <v>499753</v>
      </c>
    </row>
    <row r="19" spans="1:14" x14ac:dyDescent="0.25">
      <c r="A19" t="s">
        <v>31</v>
      </c>
      <c r="B19" s="1">
        <v>0.153</v>
      </c>
      <c r="C19" s="3">
        <v>0.06</v>
      </c>
      <c r="D19" s="1">
        <v>-9.2999999999999999E-2</v>
      </c>
      <c r="E19">
        <v>404000</v>
      </c>
      <c r="F19">
        <v>2316000</v>
      </c>
      <c r="G19">
        <v>74640</v>
      </c>
      <c r="H19">
        <v>56488</v>
      </c>
      <c r="I19" s="2">
        <v>258</v>
      </c>
      <c r="J19" t="b">
        <v>1</v>
      </c>
      <c r="K19">
        <v>606805</v>
      </c>
      <c r="L19">
        <v>1220788</v>
      </c>
      <c r="M19">
        <v>613983</v>
      </c>
      <c r="N19">
        <v>881938</v>
      </c>
    </row>
    <row r="20" spans="1:14" x14ac:dyDescent="0.25">
      <c r="A20" t="s">
        <v>32</v>
      </c>
      <c r="B20" s="1">
        <v>0.17799999999999999</v>
      </c>
      <c r="C20" s="1">
        <v>0.11899999999999999</v>
      </c>
      <c r="D20" s="1">
        <v>-5.8999999999999997E-2</v>
      </c>
      <c r="E20">
        <v>269000</v>
      </c>
      <c r="F20">
        <v>2295000</v>
      </c>
      <c r="G20">
        <v>184403</v>
      </c>
      <c r="H20">
        <v>170806</v>
      </c>
      <c r="I20" s="2">
        <v>362</v>
      </c>
      <c r="J20" t="b">
        <v>1</v>
      </c>
      <c r="K20">
        <v>1019787</v>
      </c>
      <c r="L20">
        <v>1328708</v>
      </c>
      <c r="M20">
        <v>308921</v>
      </c>
      <c r="N20">
        <v>817272</v>
      </c>
    </row>
    <row r="21" spans="1:14" x14ac:dyDescent="0.25">
      <c r="A21" t="s">
        <v>33</v>
      </c>
      <c r="B21" s="1">
        <v>0.10100000000000001</v>
      </c>
      <c r="C21" s="1">
        <v>8.4000000000000005E-2</v>
      </c>
      <c r="D21" s="1">
        <v>-1.7000000000000001E-2</v>
      </c>
      <c r="E21">
        <v>22000</v>
      </c>
      <c r="F21">
        <v>702000</v>
      </c>
      <c r="G21">
        <v>75240</v>
      </c>
      <c r="H21">
        <v>63896</v>
      </c>
      <c r="I21" s="2">
        <v>342</v>
      </c>
      <c r="J21" t="b">
        <v>0</v>
      </c>
      <c r="L21">
        <v>273160</v>
      </c>
      <c r="N21">
        <v>315160</v>
      </c>
    </row>
    <row r="22" spans="1:14" x14ac:dyDescent="0.25">
      <c r="A22" t="s">
        <v>34</v>
      </c>
      <c r="B22" s="1">
        <v>0.113</v>
      </c>
      <c r="C22" s="1">
        <v>6.6000000000000003E-2</v>
      </c>
      <c r="D22" s="1">
        <v>-4.7E-2</v>
      </c>
      <c r="E22">
        <v>278000</v>
      </c>
      <c r="F22">
        <v>3700000</v>
      </c>
      <c r="G22">
        <v>135208</v>
      </c>
      <c r="H22">
        <v>100844</v>
      </c>
      <c r="I22" s="2">
        <v>243</v>
      </c>
      <c r="J22" t="b">
        <v>1</v>
      </c>
      <c r="K22">
        <v>856297</v>
      </c>
      <c r="L22">
        <v>1252304</v>
      </c>
      <c r="M22">
        <v>396007</v>
      </c>
      <c r="N22">
        <v>960848</v>
      </c>
    </row>
    <row r="23" spans="1:14" x14ac:dyDescent="0.25">
      <c r="A23" t="s">
        <v>35</v>
      </c>
      <c r="B23" s="1">
        <v>4.3999999999999997E-2</v>
      </c>
      <c r="C23" s="1">
        <v>2.8000000000000001E-2</v>
      </c>
      <c r="D23" s="1">
        <v>-1.6E-2</v>
      </c>
      <c r="E23">
        <v>107000</v>
      </c>
      <c r="F23">
        <v>4232000</v>
      </c>
      <c r="G23">
        <v>207121</v>
      </c>
      <c r="H23">
        <v>157751</v>
      </c>
      <c r="I23" s="2">
        <v>190</v>
      </c>
      <c r="J23" t="b">
        <v>1</v>
      </c>
      <c r="K23">
        <v>1296359</v>
      </c>
      <c r="L23">
        <v>1684328</v>
      </c>
      <c r="M23">
        <v>387969</v>
      </c>
      <c r="N23">
        <v>1252277</v>
      </c>
    </row>
    <row r="24" spans="1:14" x14ac:dyDescent="0.25">
      <c r="A24" t="s">
        <v>36</v>
      </c>
      <c r="B24" s="1">
        <v>0.124</v>
      </c>
      <c r="C24" s="1">
        <v>6.0999999999999999E-2</v>
      </c>
      <c r="D24" s="1">
        <v>-6.3E-2</v>
      </c>
      <c r="E24">
        <v>618000</v>
      </c>
      <c r="F24">
        <v>5876000</v>
      </c>
      <c r="G24">
        <v>313123</v>
      </c>
      <c r="H24">
        <v>275080</v>
      </c>
      <c r="I24" s="2">
        <v>233</v>
      </c>
      <c r="J24" t="b">
        <v>1</v>
      </c>
      <c r="K24">
        <v>1912009</v>
      </c>
      <c r="L24">
        <v>2300958</v>
      </c>
      <c r="M24">
        <v>388949</v>
      </c>
      <c r="N24">
        <v>1947787</v>
      </c>
    </row>
    <row r="25" spans="1:14" x14ac:dyDescent="0.25">
      <c r="A25" t="s">
        <v>37</v>
      </c>
      <c r="B25" s="1">
        <v>9.0999999999999998E-2</v>
      </c>
      <c r="C25" s="1">
        <v>4.4999999999999998E-2</v>
      </c>
      <c r="D25" s="1">
        <v>-4.5999999999999999E-2</v>
      </c>
      <c r="E25">
        <v>250000</v>
      </c>
      <c r="F25">
        <v>3319000</v>
      </c>
      <c r="G25">
        <v>74060</v>
      </c>
      <c r="H25">
        <v>47266</v>
      </c>
      <c r="I25" s="2">
        <v>203</v>
      </c>
      <c r="J25" t="b">
        <v>1</v>
      </c>
      <c r="K25">
        <v>873040</v>
      </c>
      <c r="L25">
        <v>1051509</v>
      </c>
      <c r="M25">
        <v>178469</v>
      </c>
      <c r="N25">
        <v>944222</v>
      </c>
    </row>
    <row r="26" spans="1:14" x14ac:dyDescent="0.25">
      <c r="A26" t="s">
        <v>38</v>
      </c>
      <c r="B26" s="1">
        <v>0.182</v>
      </c>
      <c r="C26" s="1">
        <v>0.127</v>
      </c>
      <c r="D26" s="1">
        <v>-5.5E-2</v>
      </c>
      <c r="E26">
        <v>161000</v>
      </c>
      <c r="F26">
        <v>1326000</v>
      </c>
      <c r="G26">
        <v>77747</v>
      </c>
      <c r="H26">
        <v>73246</v>
      </c>
      <c r="I26" s="2">
        <v>306</v>
      </c>
      <c r="J26" t="b">
        <v>0</v>
      </c>
      <c r="K26">
        <v>637229</v>
      </c>
      <c r="L26">
        <v>693869</v>
      </c>
      <c r="M26">
        <v>56640</v>
      </c>
      <c r="N26">
        <v>571699</v>
      </c>
    </row>
    <row r="27" spans="1:14" x14ac:dyDescent="0.25">
      <c r="A27" t="s">
        <v>39</v>
      </c>
      <c r="B27" s="1">
        <v>0.13200000000000001</v>
      </c>
      <c r="C27" s="1">
        <v>9.8000000000000004E-2</v>
      </c>
      <c r="D27" s="1">
        <v>-3.4000000000000002E-2</v>
      </c>
      <c r="E27">
        <v>203000</v>
      </c>
      <c r="F27">
        <v>3389000</v>
      </c>
      <c r="G27">
        <v>252044</v>
      </c>
      <c r="H27">
        <v>225878</v>
      </c>
      <c r="I27" s="2">
        <v>315</v>
      </c>
      <c r="J27" t="b">
        <v>0</v>
      </c>
      <c r="K27">
        <v>846084</v>
      </c>
      <c r="L27">
        <v>967284</v>
      </c>
      <c r="M27">
        <v>121200</v>
      </c>
      <c r="N27">
        <v>1163543</v>
      </c>
    </row>
    <row r="28" spans="1:14" x14ac:dyDescent="0.25">
      <c r="A28" t="s">
        <v>40</v>
      </c>
      <c r="B28" s="1">
        <v>0.17299999999999999</v>
      </c>
      <c r="C28" s="1">
        <v>0.11600000000000001</v>
      </c>
      <c r="D28" s="1">
        <v>-5.7000000000000002E-2</v>
      </c>
      <c r="E28">
        <v>58000</v>
      </c>
      <c r="F28">
        <v>510000</v>
      </c>
      <c r="G28">
        <v>51758</v>
      </c>
      <c r="H28">
        <v>44091</v>
      </c>
      <c r="I28" s="2">
        <v>306</v>
      </c>
      <c r="J28" t="b">
        <v>1</v>
      </c>
      <c r="K28">
        <v>148974</v>
      </c>
      <c r="L28">
        <v>224048</v>
      </c>
      <c r="M28">
        <v>75074</v>
      </c>
      <c r="N28">
        <v>209389</v>
      </c>
    </row>
    <row r="29" spans="1:14" x14ac:dyDescent="0.25">
      <c r="A29" t="s">
        <v>41</v>
      </c>
      <c r="B29" s="1">
        <v>0.115</v>
      </c>
      <c r="C29" s="1">
        <v>8.2000000000000003E-2</v>
      </c>
      <c r="D29" s="1">
        <v>-3.3000000000000002E-2</v>
      </c>
      <c r="E29">
        <v>62000</v>
      </c>
      <c r="F29">
        <v>1100000</v>
      </c>
      <c r="G29">
        <v>80213</v>
      </c>
      <c r="H29">
        <v>72091</v>
      </c>
      <c r="I29" s="2">
        <v>296</v>
      </c>
      <c r="J29" t="b">
        <v>0</v>
      </c>
      <c r="K29">
        <v>244600</v>
      </c>
      <c r="L29">
        <v>242702</v>
      </c>
      <c r="M29">
        <v>-1898</v>
      </c>
      <c r="N29">
        <v>322796</v>
      </c>
    </row>
    <row r="30" spans="1:14" x14ac:dyDescent="0.25">
      <c r="A30" t="s">
        <v>42</v>
      </c>
      <c r="B30" s="1">
        <v>0.22600000000000001</v>
      </c>
      <c r="C30" s="1">
        <v>0.123</v>
      </c>
      <c r="D30" s="1">
        <v>-0.10299999999999999</v>
      </c>
      <c r="E30">
        <v>294000</v>
      </c>
      <c r="F30">
        <v>1505000</v>
      </c>
      <c r="G30">
        <v>79876</v>
      </c>
      <c r="H30">
        <v>71472</v>
      </c>
      <c r="I30" s="2">
        <v>268</v>
      </c>
      <c r="J30" t="b">
        <v>1</v>
      </c>
      <c r="K30">
        <v>332560</v>
      </c>
      <c r="L30">
        <v>614298</v>
      </c>
      <c r="M30">
        <v>281738</v>
      </c>
      <c r="N30">
        <v>471747</v>
      </c>
    </row>
    <row r="31" spans="1:14" x14ac:dyDescent="0.25">
      <c r="A31" t="s">
        <v>43</v>
      </c>
      <c r="B31" s="1">
        <v>0.111</v>
      </c>
      <c r="C31" s="1">
        <v>6.3E-2</v>
      </c>
      <c r="D31" s="1">
        <v>-4.8000000000000001E-2</v>
      </c>
      <c r="E31">
        <v>63000</v>
      </c>
      <c r="F31">
        <v>853000</v>
      </c>
      <c r="G31">
        <v>49114</v>
      </c>
      <c r="H31">
        <v>31151</v>
      </c>
      <c r="I31" s="2">
        <v>261</v>
      </c>
      <c r="J31" t="b">
        <v>1</v>
      </c>
      <c r="K31">
        <v>127082</v>
      </c>
      <c r="L31">
        <v>189429</v>
      </c>
      <c r="M31">
        <v>62347</v>
      </c>
      <c r="N31">
        <v>275803</v>
      </c>
    </row>
    <row r="32" spans="1:14" x14ac:dyDescent="0.25">
      <c r="A32" t="s">
        <v>44</v>
      </c>
      <c r="B32" s="1">
        <v>0.13200000000000001</v>
      </c>
      <c r="C32" s="1">
        <v>8.6999999999999994E-2</v>
      </c>
      <c r="D32" s="1">
        <v>-4.4999999999999998E-2</v>
      </c>
      <c r="E32">
        <v>398000</v>
      </c>
      <c r="F32">
        <v>5450000</v>
      </c>
      <c r="G32">
        <v>249395</v>
      </c>
      <c r="H32">
        <v>205242</v>
      </c>
      <c r="I32" s="2">
        <v>322</v>
      </c>
      <c r="J32" t="b">
        <v>1</v>
      </c>
      <c r="K32">
        <v>1283851</v>
      </c>
      <c r="L32">
        <v>1784529</v>
      </c>
      <c r="M32">
        <v>500678</v>
      </c>
      <c r="N32">
        <v>1528961</v>
      </c>
    </row>
    <row r="33" spans="1:14" x14ac:dyDescent="0.25">
      <c r="A33" t="s">
        <v>45</v>
      </c>
      <c r="B33" s="1">
        <v>0.19600000000000001</v>
      </c>
      <c r="C33" s="1">
        <v>0.109</v>
      </c>
      <c r="D33" s="1">
        <v>-8.6999999999999994E-2</v>
      </c>
      <c r="E33">
        <v>178000</v>
      </c>
      <c r="F33">
        <v>884000</v>
      </c>
      <c r="G33">
        <v>47497</v>
      </c>
      <c r="H33">
        <v>32703</v>
      </c>
      <c r="I33" s="2">
        <v>212</v>
      </c>
      <c r="J33" t="b">
        <v>1</v>
      </c>
      <c r="K33">
        <v>457678</v>
      </c>
      <c r="L33">
        <v>766732</v>
      </c>
      <c r="M33">
        <v>309054</v>
      </c>
      <c r="N33">
        <v>385918</v>
      </c>
    </row>
    <row r="34" spans="1:14" x14ac:dyDescent="0.25">
      <c r="A34" t="s">
        <v>46</v>
      </c>
      <c r="B34" s="1">
        <v>0.11899999999999999</v>
      </c>
      <c r="C34" s="1">
        <v>7.0999999999999994E-2</v>
      </c>
      <c r="D34" s="1">
        <v>-4.8000000000000001E-2</v>
      </c>
      <c r="E34">
        <v>939000</v>
      </c>
      <c r="F34">
        <v>10895000</v>
      </c>
      <c r="G34">
        <v>224014</v>
      </c>
      <c r="H34">
        <v>123830</v>
      </c>
      <c r="I34" s="2">
        <v>178</v>
      </c>
      <c r="J34" t="b">
        <v>1</v>
      </c>
      <c r="K34">
        <v>5678417</v>
      </c>
      <c r="L34">
        <v>6431165</v>
      </c>
      <c r="M34">
        <v>752748</v>
      </c>
      <c r="N34">
        <v>3424666</v>
      </c>
    </row>
    <row r="35" spans="1:14" x14ac:dyDescent="0.25">
      <c r="A35" t="s">
        <v>47</v>
      </c>
      <c r="B35" s="1">
        <v>0.16800000000000001</v>
      </c>
      <c r="C35" s="1">
        <v>0.112</v>
      </c>
      <c r="D35" s="1">
        <v>-5.6000000000000001E-2</v>
      </c>
      <c r="E35">
        <v>552000</v>
      </c>
      <c r="F35">
        <v>4934000</v>
      </c>
      <c r="G35">
        <v>545354</v>
      </c>
      <c r="H35">
        <v>499178</v>
      </c>
      <c r="I35" s="2">
        <v>401</v>
      </c>
      <c r="J35" t="b">
        <v>0</v>
      </c>
      <c r="K35">
        <v>1595952</v>
      </c>
      <c r="L35">
        <v>2072282</v>
      </c>
      <c r="M35">
        <v>476330</v>
      </c>
      <c r="N35">
        <v>1823454</v>
      </c>
    </row>
    <row r="36" spans="1:14" x14ac:dyDescent="0.25">
      <c r="A36" t="s">
        <v>48</v>
      </c>
      <c r="B36" s="1">
        <v>9.8000000000000004E-2</v>
      </c>
      <c r="C36" s="1">
        <v>7.8E-2</v>
      </c>
      <c r="D36" s="3">
        <v>-0.02</v>
      </c>
      <c r="E36">
        <v>15000</v>
      </c>
      <c r="F36">
        <v>450000</v>
      </c>
      <c r="G36">
        <v>20536</v>
      </c>
      <c r="H36">
        <v>17630</v>
      </c>
      <c r="I36" s="2">
        <v>262</v>
      </c>
      <c r="J36" t="b">
        <v>1</v>
      </c>
      <c r="K36">
        <v>69980</v>
      </c>
      <c r="L36">
        <v>89763</v>
      </c>
      <c r="M36">
        <v>19783</v>
      </c>
      <c r="N36">
        <v>122294</v>
      </c>
    </row>
    <row r="37" spans="1:14" x14ac:dyDescent="0.25">
      <c r="A37" t="s">
        <v>49</v>
      </c>
      <c r="B37" s="1">
        <v>0.123</v>
      </c>
      <c r="C37" s="1">
        <v>6.5000000000000002E-2</v>
      </c>
      <c r="D37" s="1">
        <v>-5.8000000000000003E-2</v>
      </c>
      <c r="E37">
        <v>664000</v>
      </c>
      <c r="F37">
        <v>6831000</v>
      </c>
      <c r="G37">
        <v>212046</v>
      </c>
      <c r="H37">
        <v>174448</v>
      </c>
      <c r="I37" s="2">
        <v>250</v>
      </c>
      <c r="J37" t="b">
        <v>1</v>
      </c>
      <c r="K37">
        <v>2341481</v>
      </c>
      <c r="L37">
        <v>3003170</v>
      </c>
      <c r="M37">
        <v>661689</v>
      </c>
      <c r="N37">
        <v>2208504</v>
      </c>
    </row>
    <row r="38" spans="1:14" x14ac:dyDescent="0.25">
      <c r="A38" t="s">
        <v>50</v>
      </c>
      <c r="B38" s="1">
        <v>0.189</v>
      </c>
      <c r="C38" s="1">
        <v>0.13900000000000001</v>
      </c>
      <c r="D38" s="3">
        <v>-0.05</v>
      </c>
      <c r="E38">
        <v>192000</v>
      </c>
      <c r="F38">
        <v>1948000</v>
      </c>
      <c r="G38">
        <v>130178</v>
      </c>
      <c r="H38">
        <v>113209</v>
      </c>
      <c r="I38" s="2">
        <v>298</v>
      </c>
      <c r="J38" t="b">
        <v>0</v>
      </c>
      <c r="K38">
        <v>790051</v>
      </c>
      <c r="L38">
        <v>788544</v>
      </c>
      <c r="M38">
        <v>-1507</v>
      </c>
      <c r="N38">
        <v>693677</v>
      </c>
    </row>
    <row r="39" spans="1:14" x14ac:dyDescent="0.25">
      <c r="A39" t="s">
        <v>51</v>
      </c>
      <c r="B39" s="1">
        <v>0.17100000000000001</v>
      </c>
      <c r="C39" s="3">
        <v>7.0000000000000007E-2</v>
      </c>
      <c r="D39" s="1">
        <v>-0.10100000000000001</v>
      </c>
      <c r="E39">
        <v>403000</v>
      </c>
      <c r="F39">
        <v>2070000</v>
      </c>
      <c r="G39">
        <v>131167</v>
      </c>
      <c r="H39">
        <v>95507</v>
      </c>
      <c r="I39" s="2">
        <v>253</v>
      </c>
      <c r="J39" t="b">
        <v>1</v>
      </c>
      <c r="K39">
        <v>626356</v>
      </c>
      <c r="L39">
        <v>1021862</v>
      </c>
      <c r="M39">
        <v>395506</v>
      </c>
      <c r="N39">
        <v>784032</v>
      </c>
    </row>
    <row r="40" spans="1:14" x14ac:dyDescent="0.25">
      <c r="A40" t="s">
        <v>52</v>
      </c>
      <c r="B40" s="1">
        <v>0.10199999999999999</v>
      </c>
      <c r="C40" s="1">
        <v>6.4000000000000001E-2</v>
      </c>
      <c r="D40" s="1">
        <v>-3.7999999999999999E-2</v>
      </c>
      <c r="E40">
        <v>479000</v>
      </c>
      <c r="F40">
        <v>7502000</v>
      </c>
      <c r="G40">
        <v>412347</v>
      </c>
      <c r="H40">
        <v>321345</v>
      </c>
      <c r="I40" s="2">
        <v>248</v>
      </c>
      <c r="J40" t="b">
        <v>1</v>
      </c>
      <c r="K40">
        <v>2386046</v>
      </c>
      <c r="L40">
        <v>2883114</v>
      </c>
      <c r="M40">
        <v>497068</v>
      </c>
      <c r="N40">
        <v>2588577</v>
      </c>
    </row>
    <row r="41" spans="1:14" x14ac:dyDescent="0.25">
      <c r="A41" t="s">
        <v>53</v>
      </c>
      <c r="B41" s="1">
        <v>0.122</v>
      </c>
      <c r="C41" s="1">
        <v>5.7000000000000002E-2</v>
      </c>
      <c r="D41" s="1">
        <v>-6.5000000000000002E-2</v>
      </c>
      <c r="E41">
        <v>68000</v>
      </c>
      <c r="F41">
        <v>597000</v>
      </c>
      <c r="G41">
        <v>35583</v>
      </c>
      <c r="H41">
        <v>30015</v>
      </c>
      <c r="I41" s="2">
        <v>250</v>
      </c>
      <c r="J41" t="b">
        <v>1</v>
      </c>
      <c r="K41">
        <v>190833</v>
      </c>
      <c r="L41">
        <v>287173</v>
      </c>
      <c r="M41">
        <v>96340</v>
      </c>
      <c r="N41">
        <v>208324</v>
      </c>
    </row>
    <row r="42" spans="1:14" x14ac:dyDescent="0.25">
      <c r="A42" t="s">
        <v>54</v>
      </c>
      <c r="B42" s="1">
        <v>0.17499999999999999</v>
      </c>
      <c r="C42" s="1">
        <v>0.109</v>
      </c>
      <c r="D42" s="1">
        <v>-6.6000000000000003E-2</v>
      </c>
      <c r="E42">
        <v>317000</v>
      </c>
      <c r="F42">
        <v>2487000</v>
      </c>
      <c r="G42">
        <v>204846</v>
      </c>
      <c r="H42">
        <v>186345</v>
      </c>
      <c r="I42" s="2">
        <v>312</v>
      </c>
      <c r="J42" t="b">
        <v>0</v>
      </c>
      <c r="K42">
        <v>889744</v>
      </c>
      <c r="L42">
        <v>994804</v>
      </c>
      <c r="M42">
        <v>105060</v>
      </c>
      <c r="N42">
        <v>974114</v>
      </c>
    </row>
    <row r="43" spans="1:14" x14ac:dyDescent="0.25">
      <c r="A43" t="s">
        <v>55</v>
      </c>
      <c r="B43" s="1">
        <v>0.124</v>
      </c>
      <c r="C43" s="1">
        <v>0.10199999999999999</v>
      </c>
      <c r="D43" s="1">
        <v>-2.1999999999999999E-2</v>
      </c>
      <c r="E43">
        <v>19000</v>
      </c>
      <c r="F43">
        <v>449000</v>
      </c>
      <c r="G43">
        <v>24578</v>
      </c>
      <c r="H43">
        <v>22005</v>
      </c>
      <c r="I43" s="2">
        <v>307</v>
      </c>
      <c r="J43" t="b">
        <v>0</v>
      </c>
      <c r="K43">
        <v>115501</v>
      </c>
      <c r="L43">
        <v>119835</v>
      </c>
      <c r="M43">
        <v>4334</v>
      </c>
      <c r="N43">
        <v>161464</v>
      </c>
    </row>
    <row r="44" spans="1:14" x14ac:dyDescent="0.25">
      <c r="A44" t="s">
        <v>56</v>
      </c>
      <c r="B44" s="1">
        <v>0.14399999999999999</v>
      </c>
      <c r="C44" s="1">
        <v>0.10299999999999999</v>
      </c>
      <c r="D44" s="1">
        <v>-4.1000000000000002E-2</v>
      </c>
      <c r="E44">
        <v>266000</v>
      </c>
      <c r="F44">
        <v>3369000</v>
      </c>
      <c r="G44">
        <v>231705</v>
      </c>
      <c r="H44">
        <v>203112</v>
      </c>
      <c r="I44" s="2">
        <v>299</v>
      </c>
      <c r="J44" t="b">
        <v>0</v>
      </c>
      <c r="K44">
        <v>1244516</v>
      </c>
      <c r="L44">
        <v>1627100</v>
      </c>
      <c r="M44">
        <v>382584</v>
      </c>
      <c r="N44">
        <v>1266920</v>
      </c>
    </row>
    <row r="45" spans="1:14" x14ac:dyDescent="0.25">
      <c r="A45" t="s">
        <v>57</v>
      </c>
      <c r="B45" s="1">
        <v>0.23699999999999999</v>
      </c>
      <c r="C45" s="1">
        <v>0.17100000000000001</v>
      </c>
      <c r="D45" s="1">
        <v>-6.6000000000000003E-2</v>
      </c>
      <c r="E45">
        <v>1781000</v>
      </c>
      <c r="F45">
        <v>13709000</v>
      </c>
      <c r="G45">
        <v>1092650</v>
      </c>
      <c r="H45">
        <v>913177</v>
      </c>
      <c r="I45" s="2">
        <v>271</v>
      </c>
      <c r="J45" t="b">
        <v>0</v>
      </c>
      <c r="K45">
        <v>4441605</v>
      </c>
      <c r="L45">
        <v>4770229</v>
      </c>
      <c r="M45">
        <v>328624</v>
      </c>
      <c r="N45">
        <v>3765946</v>
      </c>
    </row>
    <row r="46" spans="1:14" x14ac:dyDescent="0.25">
      <c r="A46" t="s">
        <v>58</v>
      </c>
      <c r="B46" s="1">
        <v>0.153</v>
      </c>
      <c r="C46" s="1">
        <v>0.105</v>
      </c>
      <c r="D46" s="1">
        <v>-4.8000000000000001E-2</v>
      </c>
      <c r="E46">
        <v>143000</v>
      </c>
      <c r="F46">
        <v>1897000</v>
      </c>
      <c r="G46">
        <v>164415</v>
      </c>
      <c r="H46">
        <v>145288</v>
      </c>
      <c r="I46" s="2">
        <v>187</v>
      </c>
      <c r="J46" t="b">
        <v>0</v>
      </c>
      <c r="K46">
        <v>294029</v>
      </c>
      <c r="L46">
        <v>314182</v>
      </c>
      <c r="M46">
        <v>20153</v>
      </c>
      <c r="N46">
        <v>358887</v>
      </c>
    </row>
    <row r="47" spans="1:14" x14ac:dyDescent="0.25">
      <c r="A47" t="s">
        <v>59</v>
      </c>
      <c r="B47" s="3">
        <v>0.08</v>
      </c>
      <c r="C47" s="1">
        <v>3.7999999999999999E-2</v>
      </c>
      <c r="D47" s="1">
        <v>-4.2000000000000003E-2</v>
      </c>
      <c r="E47">
        <v>26000</v>
      </c>
      <c r="F47">
        <v>345000</v>
      </c>
      <c r="G47">
        <v>27883</v>
      </c>
      <c r="H47">
        <v>19575</v>
      </c>
      <c r="I47" s="2">
        <v>300</v>
      </c>
      <c r="J47" t="b">
        <v>1</v>
      </c>
      <c r="K47">
        <v>161081</v>
      </c>
      <c r="L47">
        <v>175597</v>
      </c>
      <c r="M47">
        <v>14516</v>
      </c>
      <c r="N47">
        <v>136021</v>
      </c>
    </row>
    <row r="48" spans="1:14" x14ac:dyDescent="0.25">
      <c r="A48" t="s">
        <v>60</v>
      </c>
      <c r="B48" s="1">
        <v>0.13100000000000001</v>
      </c>
      <c r="C48" s="1">
        <v>9.0999999999999998E-2</v>
      </c>
      <c r="D48" s="3">
        <v>-0.04</v>
      </c>
      <c r="E48">
        <v>327000</v>
      </c>
      <c r="F48">
        <v>4850000</v>
      </c>
      <c r="G48">
        <v>378838</v>
      </c>
      <c r="H48">
        <v>319068</v>
      </c>
      <c r="I48" s="2">
        <v>276</v>
      </c>
      <c r="J48" t="b">
        <v>0</v>
      </c>
      <c r="K48">
        <v>935434</v>
      </c>
      <c r="L48">
        <v>988821</v>
      </c>
      <c r="M48">
        <v>53387</v>
      </c>
      <c r="N48">
        <v>1392261</v>
      </c>
    </row>
    <row r="49" spans="1:14" x14ac:dyDescent="0.25">
      <c r="A49" t="s">
        <v>61</v>
      </c>
      <c r="B49" s="1">
        <v>0.14199999999999999</v>
      </c>
      <c r="C49" s="1">
        <v>6.6000000000000003E-2</v>
      </c>
      <c r="D49" s="1">
        <v>-7.5999999999999998E-2</v>
      </c>
      <c r="E49">
        <v>537000</v>
      </c>
      <c r="F49">
        <v>3986000</v>
      </c>
      <c r="G49">
        <v>158245</v>
      </c>
      <c r="H49">
        <v>110476</v>
      </c>
      <c r="I49" s="2">
        <v>238</v>
      </c>
      <c r="J49" t="b">
        <v>1</v>
      </c>
      <c r="K49">
        <v>1117576</v>
      </c>
      <c r="L49">
        <v>1788536</v>
      </c>
      <c r="M49">
        <v>670960</v>
      </c>
      <c r="N49">
        <v>1238649</v>
      </c>
    </row>
    <row r="50" spans="1:14" x14ac:dyDescent="0.25">
      <c r="A50" t="s">
        <v>62</v>
      </c>
      <c r="B50" s="1">
        <v>0.14599999999999999</v>
      </c>
      <c r="C50" s="3">
        <v>0.06</v>
      </c>
      <c r="D50" s="1">
        <v>-8.5999999999999993E-2</v>
      </c>
      <c r="E50">
        <v>156000</v>
      </c>
      <c r="F50">
        <v>976000</v>
      </c>
      <c r="G50">
        <v>33235</v>
      </c>
      <c r="H50">
        <v>29163</v>
      </c>
      <c r="I50" s="2">
        <v>388</v>
      </c>
      <c r="J50" t="b">
        <v>1</v>
      </c>
      <c r="K50">
        <v>354544</v>
      </c>
      <c r="L50">
        <v>575645</v>
      </c>
      <c r="M50">
        <v>221101</v>
      </c>
      <c r="N50">
        <v>423500</v>
      </c>
    </row>
    <row r="51" spans="1:14" x14ac:dyDescent="0.25">
      <c r="A51" t="s">
        <v>63</v>
      </c>
      <c r="B51" s="1">
        <v>9.4E-2</v>
      </c>
      <c r="C51" s="1">
        <v>5.7000000000000002E-2</v>
      </c>
      <c r="D51" s="1">
        <v>-3.6999999999999998E-2</v>
      </c>
      <c r="E51">
        <v>211000</v>
      </c>
      <c r="F51">
        <v>3521000</v>
      </c>
      <c r="G51">
        <v>224208</v>
      </c>
      <c r="H51">
        <v>190542</v>
      </c>
      <c r="I51" s="2">
        <v>332</v>
      </c>
      <c r="J51" t="b">
        <v>0</v>
      </c>
      <c r="K51">
        <v>985531</v>
      </c>
      <c r="L51">
        <v>1046897</v>
      </c>
      <c r="M51">
        <v>61366</v>
      </c>
      <c r="N51">
        <v>1084854</v>
      </c>
    </row>
    <row r="52" spans="1:14" x14ac:dyDescent="0.25">
      <c r="A52" t="s">
        <v>64</v>
      </c>
      <c r="B52" s="1">
        <v>0.14899999999999999</v>
      </c>
      <c r="C52" s="1">
        <v>0.115</v>
      </c>
      <c r="D52" s="1">
        <v>-3.4000000000000002E-2</v>
      </c>
      <c r="E52">
        <v>20000</v>
      </c>
      <c r="F52">
        <v>335000</v>
      </c>
      <c r="G52">
        <v>22076</v>
      </c>
      <c r="H52">
        <v>20313</v>
      </c>
      <c r="I52" s="2">
        <v>459</v>
      </c>
      <c r="J52" t="b">
        <v>0</v>
      </c>
      <c r="K52">
        <v>67518</v>
      </c>
      <c r="L52">
        <v>63583</v>
      </c>
      <c r="M52">
        <v>-3935</v>
      </c>
      <c r="N52">
        <v>99128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2839-9DAB-479D-AE0F-6A5510538D89}">
  <sheetPr>
    <pageSetUpPr fitToPage="1"/>
  </sheetPr>
  <dimension ref="A1:U40"/>
  <sheetViews>
    <sheetView tabSelected="1" zoomScaleNormal="100" workbookViewId="0">
      <selection sqref="A1:U40"/>
    </sheetView>
  </sheetViews>
  <sheetFormatPr defaultRowHeight="15" x14ac:dyDescent="0.25"/>
  <sheetData>
    <row r="1" spans="1:21" x14ac:dyDescent="0.25">
      <c r="A1" s="10"/>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3" spans="1:21" x14ac:dyDescent="0.25">
      <c r="A3" s="10"/>
      <c r="B3" s="10"/>
      <c r="C3" s="10"/>
      <c r="D3" s="10"/>
      <c r="E3" s="10"/>
      <c r="F3" s="10"/>
      <c r="G3" s="10"/>
      <c r="H3" s="10"/>
      <c r="I3" s="10"/>
      <c r="J3" s="10"/>
      <c r="K3" s="10"/>
      <c r="L3" s="10"/>
      <c r="M3" s="10"/>
      <c r="N3" s="10"/>
      <c r="O3" s="10"/>
      <c r="P3" s="10"/>
      <c r="Q3" s="10"/>
      <c r="R3" s="10"/>
      <c r="S3" s="10"/>
      <c r="T3" s="10"/>
      <c r="U3" s="10"/>
    </row>
    <row r="4" spans="1:21" x14ac:dyDescent="0.25">
      <c r="A4" s="10"/>
      <c r="B4" s="10"/>
      <c r="C4" s="10"/>
      <c r="D4" s="10"/>
      <c r="E4" s="10"/>
      <c r="F4" s="10"/>
      <c r="G4" s="10"/>
      <c r="H4" s="10"/>
      <c r="I4" s="10"/>
      <c r="J4" s="10"/>
      <c r="K4" s="10"/>
      <c r="L4" s="10"/>
      <c r="M4" s="10"/>
      <c r="N4" s="10"/>
      <c r="O4" s="10"/>
      <c r="P4" s="10"/>
      <c r="Q4" s="10"/>
      <c r="R4" s="10"/>
      <c r="S4" s="10"/>
      <c r="T4" s="10"/>
      <c r="U4" s="10"/>
    </row>
    <row r="5" spans="1:21" x14ac:dyDescent="0.25">
      <c r="A5" s="10"/>
      <c r="B5" s="10"/>
      <c r="C5" s="10"/>
      <c r="D5" s="10"/>
      <c r="E5" s="10"/>
      <c r="F5" s="10"/>
      <c r="G5" s="10"/>
      <c r="H5" s="10"/>
      <c r="I5" s="10"/>
      <c r="J5" s="10"/>
      <c r="K5" s="10"/>
      <c r="L5" s="10"/>
      <c r="M5" s="10"/>
      <c r="N5" s="10"/>
      <c r="O5" s="10"/>
      <c r="P5" s="10"/>
      <c r="Q5" s="10"/>
      <c r="R5" s="10"/>
      <c r="S5" s="10"/>
      <c r="T5" s="10"/>
      <c r="U5" s="10"/>
    </row>
    <row r="6" spans="1:21" x14ac:dyDescent="0.25">
      <c r="A6" s="10"/>
      <c r="B6" s="10"/>
      <c r="C6" s="10"/>
      <c r="D6" s="10"/>
      <c r="E6" s="10"/>
      <c r="F6" s="10"/>
      <c r="G6" s="10"/>
      <c r="H6" s="10"/>
      <c r="I6" s="10"/>
      <c r="J6" s="10"/>
      <c r="K6" s="10"/>
      <c r="L6" s="10"/>
      <c r="M6" s="10"/>
      <c r="N6" s="10"/>
      <c r="O6" s="10"/>
      <c r="P6" s="10"/>
      <c r="Q6" s="10"/>
      <c r="R6" s="10"/>
      <c r="S6" s="10"/>
      <c r="T6" s="10"/>
      <c r="U6" s="10"/>
    </row>
    <row r="7" spans="1:21" x14ac:dyDescent="0.25">
      <c r="A7" s="10"/>
      <c r="B7" s="10"/>
      <c r="C7" s="10"/>
      <c r="D7" s="10"/>
      <c r="E7" s="10"/>
      <c r="F7" s="10"/>
      <c r="G7" s="10"/>
      <c r="H7" s="10"/>
      <c r="I7" s="10"/>
      <c r="J7" s="10"/>
      <c r="K7" s="10"/>
      <c r="L7" s="10"/>
      <c r="M7" s="10"/>
      <c r="N7" s="10"/>
      <c r="O7" s="10"/>
      <c r="P7" s="10"/>
      <c r="Q7" s="10"/>
      <c r="R7" s="10"/>
      <c r="S7" s="10"/>
      <c r="T7" s="10"/>
      <c r="U7" s="10"/>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x14ac:dyDescent="0.25">
      <c r="A17" s="10"/>
      <c r="B17" s="10"/>
      <c r="C17" s="10"/>
      <c r="D17" s="10"/>
      <c r="E17" s="10"/>
      <c r="F17" s="10"/>
      <c r="G17" s="10"/>
      <c r="H17" s="10"/>
      <c r="I17" s="10"/>
      <c r="J17" s="10"/>
      <c r="K17" s="10"/>
      <c r="L17" s="10"/>
      <c r="M17" s="10"/>
      <c r="N17" s="10"/>
      <c r="O17" s="10"/>
      <c r="P17" s="10"/>
      <c r="Q17" s="10"/>
      <c r="R17" s="10"/>
      <c r="S17" s="10"/>
      <c r="T17" s="10"/>
      <c r="U17" s="10"/>
    </row>
    <row r="18" spans="1:21" x14ac:dyDescent="0.25">
      <c r="A18" s="10"/>
      <c r="B18" s="10"/>
      <c r="C18" s="10"/>
      <c r="D18" s="10"/>
      <c r="E18" s="10"/>
      <c r="F18" s="10"/>
      <c r="G18" s="10"/>
      <c r="H18" s="10"/>
      <c r="I18" s="10"/>
      <c r="J18" s="10"/>
      <c r="K18" s="10"/>
      <c r="L18" s="10"/>
      <c r="M18" s="10"/>
      <c r="N18" s="10"/>
      <c r="O18" s="10"/>
      <c r="P18" s="10"/>
      <c r="Q18" s="10"/>
      <c r="R18" s="10"/>
      <c r="S18" s="10"/>
      <c r="T18" s="10"/>
      <c r="U18" s="10"/>
    </row>
    <row r="19" spans="1:21" x14ac:dyDescent="0.25">
      <c r="A19" s="10"/>
      <c r="B19" s="10"/>
      <c r="C19" s="10"/>
      <c r="D19" s="10"/>
      <c r="E19" s="10"/>
      <c r="F19" s="10"/>
      <c r="G19" s="10"/>
      <c r="H19" s="10"/>
      <c r="I19" s="10"/>
      <c r="J19" s="10"/>
      <c r="K19" s="10"/>
      <c r="L19" s="10"/>
      <c r="M19" s="10"/>
      <c r="N19" s="10"/>
      <c r="O19" s="10"/>
      <c r="P19" s="10"/>
      <c r="Q19" s="10"/>
      <c r="R19" s="10"/>
      <c r="S19" s="10"/>
      <c r="T19" s="10"/>
      <c r="U19" s="10"/>
    </row>
    <row r="20" spans="1:21" x14ac:dyDescent="0.25">
      <c r="A20" s="10"/>
      <c r="B20" s="10"/>
      <c r="C20" s="10"/>
      <c r="D20" s="10"/>
      <c r="E20" s="10"/>
      <c r="F20" s="10"/>
      <c r="G20" s="10"/>
      <c r="H20" s="10"/>
      <c r="I20" s="10"/>
      <c r="J20" s="10"/>
      <c r="K20" s="10"/>
      <c r="L20" s="10"/>
      <c r="M20" s="10"/>
      <c r="N20" s="10"/>
      <c r="O20" s="10"/>
      <c r="P20" s="10"/>
      <c r="Q20" s="10"/>
      <c r="R20" s="10"/>
      <c r="S20" s="10"/>
      <c r="T20" s="10"/>
      <c r="U20" s="10"/>
    </row>
    <row r="21" spans="1:21" x14ac:dyDescent="0.25">
      <c r="A21" s="10"/>
      <c r="B21" s="10"/>
      <c r="C21" s="10"/>
      <c r="D21" s="10"/>
      <c r="E21" s="10"/>
      <c r="F21" s="10"/>
      <c r="G21" s="10"/>
      <c r="H21" s="10"/>
      <c r="I21" s="10"/>
      <c r="J21" s="10"/>
      <c r="K21" s="10"/>
      <c r="L21" s="10"/>
      <c r="M21" s="10"/>
      <c r="N21" s="10"/>
      <c r="O21" s="10"/>
      <c r="P21" s="10"/>
      <c r="Q21" s="10"/>
      <c r="R21" s="10"/>
      <c r="S21" s="10"/>
      <c r="T21" s="10"/>
      <c r="U21" s="10"/>
    </row>
    <row r="22" spans="1:21" x14ac:dyDescent="0.25">
      <c r="A22" s="10"/>
      <c r="B22" s="10"/>
      <c r="C22" s="10"/>
      <c r="D22" s="10"/>
      <c r="E22" s="10"/>
      <c r="F22" s="10"/>
      <c r="G22" s="10"/>
      <c r="H22" s="10"/>
      <c r="I22" s="10"/>
      <c r="J22" s="10"/>
      <c r="K22" s="10"/>
      <c r="L22" s="10"/>
      <c r="M22" s="10"/>
      <c r="N22" s="10"/>
      <c r="O22" s="10"/>
      <c r="P22" s="10"/>
      <c r="Q22" s="10"/>
      <c r="R22" s="10"/>
      <c r="S22" s="10"/>
      <c r="T22" s="10"/>
      <c r="U22" s="10"/>
    </row>
    <row r="23" spans="1:21" x14ac:dyDescent="0.25">
      <c r="A23" s="10"/>
      <c r="B23" s="10"/>
      <c r="C23" s="10"/>
      <c r="D23" s="10"/>
      <c r="E23" s="10"/>
      <c r="F23" s="10"/>
      <c r="G23" s="10"/>
      <c r="H23" s="10"/>
      <c r="I23" s="10"/>
      <c r="J23" s="10"/>
      <c r="K23" s="10"/>
      <c r="L23" s="10"/>
      <c r="M23" s="10"/>
      <c r="N23" s="10"/>
      <c r="O23" s="10"/>
      <c r="P23" s="10"/>
      <c r="Q23" s="10"/>
      <c r="R23" s="10"/>
      <c r="S23" s="10"/>
      <c r="T23" s="10"/>
      <c r="U23" s="10"/>
    </row>
    <row r="24" spans="1:21" x14ac:dyDescent="0.25">
      <c r="A24" s="10"/>
      <c r="B24" s="10"/>
      <c r="C24" s="10"/>
      <c r="D24" s="10"/>
      <c r="E24" s="10"/>
      <c r="F24" s="10"/>
      <c r="G24" s="10"/>
      <c r="H24" s="10"/>
      <c r="I24" s="10"/>
      <c r="J24" s="10"/>
      <c r="K24" s="10"/>
      <c r="L24" s="10"/>
      <c r="M24" s="10"/>
      <c r="N24" s="10"/>
      <c r="O24" s="10"/>
      <c r="P24" s="10"/>
      <c r="Q24" s="10"/>
      <c r="R24" s="10"/>
      <c r="S24" s="10"/>
      <c r="T24" s="10"/>
      <c r="U24" s="10"/>
    </row>
    <row r="25" spans="1:21" x14ac:dyDescent="0.25">
      <c r="A25" s="10"/>
      <c r="B25" s="10"/>
      <c r="C25" s="10"/>
      <c r="D25" s="10"/>
      <c r="E25" s="10"/>
      <c r="F25" s="10"/>
      <c r="G25" s="10"/>
      <c r="H25" s="10"/>
      <c r="I25" s="10"/>
      <c r="J25" s="10"/>
      <c r="K25" s="10"/>
      <c r="L25" s="10"/>
      <c r="M25" s="10"/>
      <c r="N25" s="10"/>
      <c r="O25" s="10"/>
      <c r="P25" s="10"/>
      <c r="Q25" s="10"/>
      <c r="R25" s="10"/>
      <c r="S25" s="10"/>
      <c r="T25" s="10"/>
      <c r="U25" s="10"/>
    </row>
    <row r="26" spans="1:21" x14ac:dyDescent="0.25">
      <c r="A26" s="10"/>
      <c r="B26" s="10"/>
      <c r="C26" s="10"/>
      <c r="D26" s="10"/>
      <c r="E26" s="10"/>
      <c r="F26" s="10"/>
      <c r="G26" s="10"/>
      <c r="H26" s="10"/>
      <c r="I26" s="10"/>
      <c r="J26" s="10"/>
      <c r="K26" s="10"/>
      <c r="L26" s="10"/>
      <c r="M26" s="10"/>
      <c r="N26" s="10"/>
      <c r="O26" s="10"/>
      <c r="P26" s="10"/>
      <c r="Q26" s="10"/>
      <c r="R26" s="10"/>
      <c r="S26" s="10"/>
      <c r="T26" s="10"/>
      <c r="U26" s="10"/>
    </row>
    <row r="27" spans="1:21" x14ac:dyDescent="0.25">
      <c r="A27" s="10"/>
      <c r="B27" s="10"/>
      <c r="C27" s="10"/>
      <c r="D27" s="10"/>
      <c r="E27" s="10"/>
      <c r="F27" s="10"/>
      <c r="G27" s="10"/>
      <c r="H27" s="10"/>
      <c r="I27" s="10"/>
      <c r="J27" s="10"/>
      <c r="K27" s="10"/>
      <c r="L27" s="10"/>
      <c r="M27" s="10"/>
      <c r="N27" s="10"/>
      <c r="O27" s="10"/>
      <c r="P27" s="10"/>
      <c r="Q27" s="10"/>
      <c r="R27" s="10"/>
      <c r="S27" s="10"/>
      <c r="T27" s="10"/>
      <c r="U27" s="10"/>
    </row>
    <row r="28" spans="1:21" x14ac:dyDescent="0.25">
      <c r="A28" s="10"/>
      <c r="B28" s="10"/>
      <c r="C28" s="10"/>
      <c r="D28" s="10"/>
      <c r="E28" s="10"/>
      <c r="F28" s="10"/>
      <c r="G28" s="10"/>
      <c r="H28" s="10"/>
      <c r="I28" s="10"/>
      <c r="J28" s="10"/>
      <c r="K28" s="10"/>
      <c r="L28" s="10"/>
      <c r="M28" s="10"/>
      <c r="N28" s="10"/>
      <c r="O28" s="10"/>
      <c r="P28" s="10"/>
      <c r="Q28" s="10"/>
      <c r="R28" s="10"/>
      <c r="S28" s="10"/>
      <c r="T28" s="10"/>
      <c r="U28" s="10"/>
    </row>
    <row r="29" spans="1:21" x14ac:dyDescent="0.25">
      <c r="A29" s="10"/>
      <c r="B29" s="10"/>
      <c r="C29" s="10"/>
      <c r="D29" s="10"/>
      <c r="E29" s="10"/>
      <c r="F29" s="10"/>
      <c r="G29" s="10"/>
      <c r="H29" s="10"/>
      <c r="I29" s="10"/>
      <c r="J29" s="10"/>
      <c r="K29" s="10"/>
      <c r="L29" s="10"/>
      <c r="M29" s="10"/>
      <c r="N29" s="10"/>
      <c r="O29" s="10"/>
      <c r="P29" s="10"/>
      <c r="Q29" s="10"/>
      <c r="R29" s="10"/>
      <c r="S29" s="10"/>
      <c r="T29" s="10"/>
      <c r="U29" s="10"/>
    </row>
    <row r="30" spans="1:21" x14ac:dyDescent="0.25">
      <c r="A30" s="10"/>
      <c r="B30" s="10"/>
      <c r="C30" s="10"/>
      <c r="D30" s="10"/>
      <c r="E30" s="10"/>
      <c r="F30" s="10"/>
      <c r="G30" s="10"/>
      <c r="H30" s="10"/>
      <c r="I30" s="10"/>
      <c r="J30" s="10"/>
      <c r="K30" s="10"/>
      <c r="L30" s="10"/>
      <c r="M30" s="10"/>
      <c r="N30" s="10"/>
      <c r="O30" s="10"/>
      <c r="P30" s="10"/>
      <c r="Q30" s="10"/>
      <c r="R30" s="10"/>
      <c r="S30" s="10"/>
      <c r="T30" s="10"/>
      <c r="U30" s="10"/>
    </row>
    <row r="31" spans="1:21" x14ac:dyDescent="0.25">
      <c r="A31" s="10"/>
      <c r="B31" s="10"/>
      <c r="C31" s="10"/>
      <c r="D31" s="10"/>
      <c r="E31" s="10"/>
      <c r="F31" s="10"/>
      <c r="G31" s="10"/>
      <c r="H31" s="10"/>
      <c r="I31" s="10"/>
      <c r="J31" s="10"/>
      <c r="K31" s="10"/>
      <c r="L31" s="10"/>
      <c r="M31" s="10"/>
      <c r="N31" s="10"/>
      <c r="O31" s="10"/>
      <c r="P31" s="10"/>
      <c r="Q31" s="10"/>
      <c r="R31" s="10"/>
      <c r="S31" s="10"/>
      <c r="T31" s="10"/>
      <c r="U31" s="10"/>
    </row>
    <row r="32" spans="1:21" x14ac:dyDescent="0.25">
      <c r="A32" s="10"/>
      <c r="B32" s="10"/>
      <c r="C32" s="10"/>
      <c r="D32" s="10"/>
      <c r="E32" s="10"/>
      <c r="F32" s="10"/>
      <c r="G32" s="10"/>
      <c r="H32" s="10"/>
      <c r="I32" s="10"/>
      <c r="J32" s="10"/>
      <c r="K32" s="10"/>
      <c r="L32" s="10"/>
      <c r="M32" s="10"/>
      <c r="N32" s="10"/>
      <c r="O32" s="10"/>
      <c r="P32" s="10"/>
      <c r="Q32" s="10"/>
      <c r="R32" s="10"/>
      <c r="S32" s="10"/>
      <c r="T32" s="10"/>
      <c r="U32" s="10"/>
    </row>
    <row r="33" spans="1:21" x14ac:dyDescent="0.25">
      <c r="A33" s="10"/>
      <c r="B33" s="10"/>
      <c r="C33" s="10"/>
      <c r="D33" s="10"/>
      <c r="E33" s="10"/>
      <c r="F33" s="10"/>
      <c r="G33" s="10"/>
      <c r="H33" s="10"/>
      <c r="I33" s="10"/>
      <c r="J33" s="10"/>
      <c r="K33" s="10"/>
      <c r="L33" s="10"/>
      <c r="M33" s="10"/>
      <c r="N33" s="10"/>
      <c r="O33" s="10"/>
      <c r="P33" s="10"/>
      <c r="Q33" s="10"/>
      <c r="R33" s="10"/>
      <c r="S33" s="10"/>
      <c r="T33" s="10"/>
      <c r="U33" s="10"/>
    </row>
    <row r="34" spans="1:21" x14ac:dyDescent="0.25">
      <c r="A34" s="10"/>
      <c r="B34" s="10"/>
      <c r="C34" s="10"/>
      <c r="D34" s="10"/>
      <c r="E34" s="10"/>
      <c r="F34" s="10"/>
      <c r="G34" s="10"/>
      <c r="H34" s="10"/>
      <c r="I34" s="10"/>
      <c r="J34" s="10"/>
      <c r="K34" s="10"/>
      <c r="L34" s="10"/>
      <c r="M34" s="10"/>
      <c r="N34" s="10"/>
      <c r="O34" s="10"/>
      <c r="P34" s="10"/>
      <c r="Q34" s="10"/>
      <c r="R34" s="10"/>
      <c r="S34" s="10"/>
      <c r="T34" s="10"/>
      <c r="U34" s="10"/>
    </row>
    <row r="35" spans="1:21" x14ac:dyDescent="0.25">
      <c r="A35" s="10"/>
      <c r="B35" s="10"/>
      <c r="C35" s="10"/>
      <c r="D35" s="10"/>
      <c r="E35" s="10"/>
      <c r="F35" s="10"/>
      <c r="G35" s="10"/>
      <c r="H35" s="10"/>
      <c r="I35" s="10"/>
      <c r="J35" s="10"/>
      <c r="K35" s="10"/>
      <c r="L35" s="10"/>
      <c r="M35" s="10"/>
      <c r="N35" s="10"/>
      <c r="O35" s="10"/>
      <c r="P35" s="10"/>
      <c r="Q35" s="10"/>
      <c r="R35" s="10"/>
      <c r="S35" s="10"/>
      <c r="T35" s="10"/>
      <c r="U35" s="10"/>
    </row>
    <row r="36" spans="1:21" x14ac:dyDescent="0.25">
      <c r="A36" s="10"/>
      <c r="B36" s="10"/>
      <c r="C36" s="10"/>
      <c r="D36" s="10"/>
      <c r="E36" s="10"/>
      <c r="F36" s="10"/>
      <c r="G36" s="10"/>
      <c r="H36" s="10"/>
      <c r="I36" s="10"/>
      <c r="J36" s="10"/>
      <c r="K36" s="10"/>
      <c r="L36" s="10"/>
      <c r="M36" s="10"/>
      <c r="N36" s="10"/>
      <c r="O36" s="10"/>
      <c r="P36" s="10"/>
      <c r="Q36" s="10"/>
      <c r="R36" s="10"/>
      <c r="S36" s="10"/>
      <c r="T36" s="10"/>
      <c r="U36" s="10"/>
    </row>
    <row r="37" spans="1:21" x14ac:dyDescent="0.25">
      <c r="A37" s="10"/>
      <c r="B37" s="10"/>
      <c r="C37" s="10"/>
      <c r="D37" s="10"/>
      <c r="E37" s="10"/>
      <c r="F37" s="10"/>
      <c r="G37" s="10"/>
      <c r="H37" s="10"/>
      <c r="I37" s="10"/>
      <c r="J37" s="10"/>
      <c r="K37" s="10"/>
      <c r="L37" s="10"/>
      <c r="M37" s="10"/>
      <c r="N37" s="10"/>
      <c r="O37" s="10"/>
      <c r="P37" s="10"/>
      <c r="Q37" s="10"/>
      <c r="R37" s="10"/>
      <c r="S37" s="10"/>
      <c r="T37" s="10"/>
      <c r="U37" s="10"/>
    </row>
    <row r="38" spans="1:21" x14ac:dyDescent="0.25">
      <c r="A38" s="10"/>
      <c r="B38" s="10"/>
      <c r="C38" s="10"/>
      <c r="D38" s="10"/>
      <c r="E38" s="10"/>
      <c r="F38" s="10"/>
      <c r="G38" s="10"/>
      <c r="H38" s="10"/>
      <c r="I38" s="10"/>
      <c r="J38" s="10"/>
      <c r="K38" s="10"/>
      <c r="L38" s="10"/>
      <c r="M38" s="10"/>
      <c r="N38" s="10"/>
      <c r="O38" s="10"/>
      <c r="P38" s="10"/>
      <c r="Q38" s="10"/>
      <c r="R38" s="10"/>
      <c r="S38" s="10"/>
      <c r="T38" s="10"/>
      <c r="U38" s="10"/>
    </row>
    <row r="39" spans="1:21" x14ac:dyDescent="0.25">
      <c r="A39" s="10"/>
      <c r="B39" s="10"/>
      <c r="C39" s="10"/>
      <c r="D39" s="10"/>
      <c r="E39" s="10"/>
      <c r="F39" s="10"/>
      <c r="G39" s="10"/>
      <c r="H39" s="10"/>
      <c r="I39" s="10"/>
      <c r="J39" s="10"/>
      <c r="K39" s="10"/>
      <c r="L39" s="10"/>
      <c r="M39" s="10"/>
      <c r="N39" s="10"/>
      <c r="O39" s="10"/>
      <c r="P39" s="10"/>
      <c r="Q39" s="10"/>
      <c r="R39" s="10"/>
      <c r="S39" s="10"/>
      <c r="T39" s="10"/>
      <c r="U39" s="10"/>
    </row>
    <row r="40" spans="1:21" x14ac:dyDescent="0.25">
      <c r="A40" s="10"/>
      <c r="B40" s="10"/>
      <c r="C40" s="10"/>
      <c r="D40" s="10"/>
      <c r="E40" s="10"/>
      <c r="F40" s="10"/>
      <c r="G40" s="10"/>
      <c r="H40" s="10"/>
      <c r="I40" s="10"/>
      <c r="J40" s="10"/>
      <c r="K40" s="10"/>
      <c r="L40" s="10"/>
      <c r="M40" s="10"/>
      <c r="N40" s="10"/>
      <c r="O40" s="10"/>
      <c r="P40" s="10"/>
      <c r="Q40" s="10"/>
      <c r="R40" s="10"/>
      <c r="S40" s="10"/>
      <c r="T40" s="10"/>
      <c r="U40" s="10"/>
    </row>
  </sheetData>
  <mergeCells count="1">
    <mergeCell ref="A1:U40"/>
  </mergeCells>
  <pageMargins left="0.7" right="0.7" top="0.75" bottom="0.75" header="0.3" footer="0.3"/>
  <pageSetup scale="64"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BFB8-8DE5-4B91-9BC9-5DDF440D18A1}">
  <dimension ref="A3:C17"/>
  <sheetViews>
    <sheetView workbookViewId="0">
      <selection activeCell="A18" sqref="A18"/>
    </sheetView>
  </sheetViews>
  <sheetFormatPr defaultRowHeight="15" x14ac:dyDescent="0.25"/>
  <cols>
    <col min="1" max="1" width="43.7109375" bestFit="1" customWidth="1"/>
    <col min="2" max="2" width="46.85546875" bestFit="1" customWidth="1"/>
    <col min="3" max="3" width="34.42578125" bestFit="1" customWidth="1"/>
  </cols>
  <sheetData>
    <row r="3" spans="1:3" x14ac:dyDescent="0.25">
      <c r="A3" s="3" t="s">
        <v>73</v>
      </c>
      <c r="C3" s="9" t="s">
        <v>66</v>
      </c>
    </row>
    <row r="4" spans="1:3" x14ac:dyDescent="0.25">
      <c r="A4" s="1">
        <v>8.7215686274509818E-2</v>
      </c>
      <c r="C4" s="9">
        <v>292.15686274509807</v>
      </c>
    </row>
    <row r="9" spans="1:3" x14ac:dyDescent="0.25">
      <c r="C9" s="9" t="s">
        <v>67</v>
      </c>
    </row>
    <row r="10" spans="1:3" x14ac:dyDescent="0.25">
      <c r="A10" s="3" t="s">
        <v>65</v>
      </c>
      <c r="C10" s="9">
        <v>750</v>
      </c>
    </row>
    <row r="11" spans="1:3" x14ac:dyDescent="0.25">
      <c r="A11" s="1">
        <v>-5.4333333333333303E-2</v>
      </c>
    </row>
    <row r="14" spans="1:3" x14ac:dyDescent="0.25">
      <c r="B14" s="9" t="s">
        <v>70</v>
      </c>
      <c r="C14" s="9" t="s">
        <v>71</v>
      </c>
    </row>
    <row r="15" spans="1:3" x14ac:dyDescent="0.25">
      <c r="B15" s="9">
        <v>16106157</v>
      </c>
      <c r="C15" s="9">
        <v>56392477</v>
      </c>
    </row>
    <row r="17" spans="2:2" x14ac:dyDescent="0.25">
      <c r="B17" s="6">
        <f>B15/C15</f>
        <v>0.28560825586717886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trend analysis</vt:lpstr>
      <vt:lpstr>Sheet4</vt:lpstr>
      <vt:lpstr>Sheet5</vt:lpstr>
      <vt:lpstr>State with higher employer cove</vt:lpstr>
      <vt:lpstr>employer coverage vs uninsured </vt:lpstr>
      <vt:lpstr>Medicare vs Medicaid</vt:lpstr>
      <vt:lpstr>Top 10 States with the greatest</vt:lpstr>
      <vt:lpstr>Health Insurrance (2)</vt:lpstr>
      <vt:lpstr>Dashboard</vt:lpstr>
      <vt:lpstr>kpis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rafiat kolawole</cp:lastModifiedBy>
  <cp:lastPrinted>2025-10-29T08:11:05Z</cp:lastPrinted>
  <dcterms:created xsi:type="dcterms:W3CDTF">2025-10-28T12:32:11Z</dcterms:created>
  <dcterms:modified xsi:type="dcterms:W3CDTF">2025-12-10T11:37:47Z</dcterms:modified>
</cp:coreProperties>
</file>